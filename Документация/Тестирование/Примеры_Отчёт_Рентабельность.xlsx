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Описание" sheetId="1" state="visible" r:id="rId1"/>
    <sheet name="01_По_номенклатуре" sheetId="2" state="visible" r:id="rId2"/>
    <sheet name="02_По_кассам_группам" sheetId="3" state="visible" r:id="rId3"/>
    <sheet name="03_По_сотрудникам" sheetId="4" state="visible" r:id="rId4"/>
    <sheet name="04_KPI_свод" sheetId="5" state="visible" r:id="rId5"/>
    <sheet name="05_Сырые_данные" sheetId="6" state="visible" r:id="rId6"/>
    <sheet name="06_С_учётом_списаний" sheetId="7" state="visible" r:id="rId7"/>
  </sheets>
  <definedNames>
    <definedName name="_xlnm._FilterDatabase" localSheetId="1" hidden="1">'01_По_номенклатуре'!$A$4:$H$87</definedName>
    <definedName name="_xlnm._FilterDatabase" localSheetId="5" hidden="1">'05_Сырые_данные'!$A$4:$K$94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.000"/>
    <numFmt numFmtId="166" formatCode="0.0%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A6A7A"/>
      <sz val="10"/>
    </font>
    <font>
      <b val="1"/>
      <color rgb="00FFFFFF"/>
      <sz val="11"/>
    </font>
    <font>
      <b val="1"/>
      <sz val="11"/>
    </font>
    <font>
      <b val="1"/>
      <color rgb="001F4E79"/>
      <sz val="12"/>
    </font>
    <font>
      <color rgb="005A6A7A"/>
      <sz val="9"/>
    </font>
    <font>
      <b val="1"/>
      <color rgb="001F4E79"/>
      <sz val="16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8FC"/>
      </patternFill>
    </fill>
    <fill>
      <patternFill patternType="solid">
        <fgColor rgb="00D6E3F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  <border>
      <left/>
      <right/>
      <top style="thin">
        <color rgb="00B0B8C4"/>
      </top>
      <bottom/>
      <diagonal/>
    </border>
    <border>
      <left/>
      <right style="thin">
        <color rgb="00B0B8C4"/>
      </right>
      <top style="thin">
        <color rgb="00B0B8C4"/>
      </top>
      <bottom/>
      <diagonal/>
    </border>
    <border>
      <left/>
      <right style="thin">
        <color rgb="00B0B8C4"/>
      </right>
      <top style="thin">
        <color rgb="00B0B8C4"/>
      </top>
      <bottom style="thin">
        <color rgb="00B0B8C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5" borderId="1" pivotButton="0" quotePrefix="0" xfId="0"/>
    <xf numFmtId="165" fontId="4" fillId="5" borderId="1" pivotButton="0" quotePrefix="0" xfId="0"/>
    <xf numFmtId="4" fontId="4" fillId="5" borderId="1" pivotButton="0" quotePrefix="0" xfId="0"/>
    <xf numFmtId="166" fontId="4" fillId="5" borderId="1" pivotButton="0" quotePrefix="0" xfId="0"/>
    <xf numFmtId="0" fontId="4" fillId="4" borderId="1" pivotButton="0" quotePrefix="0" xfId="0"/>
    <xf numFmtId="165" fontId="4" fillId="4" borderId="1" pivotButton="0" quotePrefix="0" xfId="0"/>
    <xf numFmtId="4" fontId="4" fillId="4" borderId="1" pivotButton="0" quotePrefix="0" xfId="0"/>
    <xf numFmtId="166" fontId="4" fillId="4" borderId="1" pivotButton="0" quotePrefix="0" xfId="0"/>
    <xf numFmtId="165" fontId="0" fillId="0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/>
    </xf>
    <xf numFmtId="0" fontId="0" fillId="6" borderId="1" pivotButton="0" quotePrefix="0" xfId="0"/>
    <xf numFmtId="0" fontId="6" fillId="7" borderId="1" applyAlignment="1" pivotButton="0" quotePrefix="0" xfId="0">
      <alignment horizontal="center"/>
    </xf>
    <xf numFmtId="0" fontId="0" fillId="7" borderId="1" pivotButton="0" quotePrefix="0" xfId="0"/>
    <xf numFmtId="0" fontId="6" fillId="8" borderId="1" applyAlignment="1" pivotButton="0" quotePrefix="0" xfId="0">
      <alignment horizontal="center"/>
    </xf>
    <xf numFmtId="0" fontId="0" fillId="8" borderId="1" pivotButton="0" quotePrefix="0" xfId="0"/>
    <xf numFmtId="0" fontId="6" fillId="9" borderId="1" applyAlignment="1" pivotButton="0" quotePrefix="0" xfId="0">
      <alignment horizontal="center"/>
    </xf>
    <xf numFmtId="0" fontId="0" fillId="9" borderId="1" pivotButton="0" quotePrefix="0" xfId="0"/>
    <xf numFmtId="4" fontId="7" fillId="6" borderId="1" applyAlignment="1" pivotButton="0" quotePrefix="0" xfId="0">
      <alignment horizontal="center"/>
    </xf>
    <xf numFmtId="4" fontId="7" fillId="7" borderId="1" applyAlignment="1" pivotButton="0" quotePrefix="0" xfId="0">
      <alignment horizontal="center"/>
    </xf>
    <xf numFmtId="4" fontId="7" fillId="8" borderId="1" applyAlignment="1" pivotButton="0" quotePrefix="0" xfId="0">
      <alignment horizontal="center"/>
    </xf>
    <xf numFmtId="166" fontId="7" fillId="9" borderId="1" applyAlignment="1" pivotButton="0" quotePrefix="0" xfId="0">
      <alignment horizontal="center"/>
    </xf>
    <xf numFmtId="4" fontId="0" fillId="3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5" fontId="4" fillId="5" borderId="1" pivotButton="0" quotePrefix="0" xfId="0"/>
    <xf numFmtId="166" fontId="4" fillId="5" borderId="1" pivotButton="0" quotePrefix="0" xfId="0"/>
    <xf numFmtId="165" fontId="4" fillId="4" borderId="1" pivotButton="0" quotePrefix="0" xfId="0"/>
    <xf numFmtId="166" fontId="4" fillId="4" borderId="1" pivotButton="0" quotePrefix="0" xfId="0"/>
    <xf numFmtId="165" fontId="0" fillId="0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left" vertical="center"/>
    </xf>
    <xf numFmtId="0" fontId="0" fillId="0" borderId="4" pivotButton="0" quotePrefix="0" xfId="0"/>
    <xf numFmtId="166" fontId="7" fillId="9" borderId="1" applyAlignment="1" pivotButton="0" quotePrefix="0" xfId="0">
      <alignment horizontal="center"/>
    </xf>
    <xf numFmtId="0" fontId="6" fillId="6" borderId="1" applyAlignment="1" pivotButton="0" quotePrefix="0" xfId="0">
      <alignment horizontal="center" wrapText="1"/>
    </xf>
    <xf numFmtId="0" fontId="6" fillId="7" borderId="1" applyAlignment="1" pivotButton="0" quotePrefix="0" xfId="0">
      <alignment horizontal="center" wrapText="1"/>
    </xf>
    <xf numFmtId="0" fontId="6" fillId="8" borderId="1" applyAlignment="1" pivotButton="0" quotePrefix="0" xfId="0">
      <alignment horizontal="center" wrapText="1"/>
    </xf>
    <xf numFmtId="0" fontId="6" fillId="10" borderId="1" applyAlignment="1" pivotButton="0" quotePrefix="0" xfId="0">
      <alignment horizontal="center" wrapText="1"/>
    </xf>
    <xf numFmtId="0" fontId="6" fillId="11" borderId="1" applyAlignment="1" pivotButton="0" quotePrefix="0" xfId="0">
      <alignment horizontal="center" wrapText="1"/>
    </xf>
    <xf numFmtId="0" fontId="6" fillId="9" borderId="1" applyAlignment="1" pivotButton="0" quotePrefix="0" xfId="0">
      <alignment horizontal="center" wrapText="1"/>
    </xf>
    <xf numFmtId="4" fontId="1" fillId="6" borderId="1" applyAlignment="1" pivotButton="0" quotePrefix="0" xfId="0">
      <alignment horizontal="center"/>
    </xf>
    <xf numFmtId="4" fontId="1" fillId="7" borderId="1" applyAlignment="1" pivotButton="0" quotePrefix="0" xfId="0">
      <alignment horizontal="center"/>
    </xf>
    <xf numFmtId="4" fontId="1" fillId="8" borderId="1" applyAlignment="1" pivotButton="0" quotePrefix="0" xfId="0">
      <alignment horizontal="center"/>
    </xf>
    <xf numFmtId="4" fontId="1" fillId="10" borderId="1" applyAlignment="1" pivotButton="0" quotePrefix="0" xfId="0">
      <alignment horizontal="center"/>
    </xf>
    <xf numFmtId="4" fontId="1" fillId="11" borderId="1" applyAlignment="1" pivotButton="0" quotePrefix="0" xfId="0">
      <alignment horizontal="center"/>
    </xf>
    <xf numFmtId="166" fontId="1" fillId="9" borderId="1" applyAlignment="1" pivotButton="0" quotePrefix="0" xfId="0">
      <alignment horizontal="center"/>
    </xf>
    <xf numFmtId="166" fontId="1" fillId="6" borderId="1" applyAlignment="1" pivotButton="0" quotePrefix="0" xfId="0">
      <alignment horizontal="center"/>
    </xf>
    <xf numFmtId="4" fontId="0" fillId="0" borderId="1" pivotButton="0" quotePrefix="0" xfId="0"/>
    <xf numFmtId="166" fontId="0" fillId="0" borderId="1" pivotButton="0" quotePrefix="0" xfId="0"/>
    <xf numFmtId="165" fontId="0" fillId="7" borderId="1" pivotButton="0" quotePrefix="0" xfId="0"/>
    <xf numFmtId="4" fontId="0" fillId="7" borderId="1" pivotButton="0" quotePrefix="0" xfId="0"/>
    <xf numFmtId="0" fontId="0" fillId="3" borderId="1" pivotButton="0" quotePrefix="0" xfId="0"/>
    <xf numFmtId="4" fontId="0" fillId="3" borderId="1" pivotButton="0" quotePrefix="0" xfId="0"/>
    <xf numFmtId="166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4" fontId="0" fillId="12" borderId="1" pivotButton="0" quotePrefix="0" xfId="0"/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Валовая прибыль по сотрудникам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'03_По_сотрудникам'!E4</f>
            </strRef>
          </tx>
          <spPr>
            <a:ln>
              <a:prstDash val="solid"/>
            </a:ln>
          </spPr>
          <cat>
            <numRef>
              <f>'03_По_сотрудникам'!$A$5:$A$8</f>
            </numRef>
          </cat>
          <val>
            <numRef>
              <f>'03_По_сотрудникам'!$E$5:$E$8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грн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Доля валовой прибыли по группам</a:t>
            </a:r>
          </a:p>
        </rich>
      </tx>
    </title>
    <plotArea>
      <pieChart>
        <varyColors val="1"/>
        <ser>
          <idx val="0"/>
          <order val="0"/>
          <tx>
            <strRef>
              <f>'04_KPI_свод'!D23</f>
            </strRef>
          </tx>
          <spPr>
            <a:ln>
              <a:prstDash val="solid"/>
            </a:ln>
          </spPr>
          <cat>
            <numRef>
              <f>'04_KPI_свод'!$A$24:$A$32</f>
            </numRef>
          </cat>
          <val>
            <numRef>
              <f>'04_KPI_свод'!$D$24:$D$32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Валовая vs списания vs скорректированная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'06_С_учётом_списаний'!B32</f>
            </strRef>
          </tx>
          <spPr>
            <a:ln>
              <a:prstDash val="solid"/>
            </a:ln>
          </spPr>
          <cat>
            <numRef>
              <f>'06_С_учётом_списаний'!$A$33:$A$42</f>
            </numRef>
          </cat>
          <val>
            <numRef>
              <f>'06_С_учётом_списаний'!$B$33:$B$42</f>
            </numRef>
          </val>
        </ser>
        <ser>
          <idx val="1"/>
          <order val="1"/>
          <tx>
            <strRef>
              <f>'06_С_учётом_списаний'!C32</f>
            </strRef>
          </tx>
          <spPr>
            <a:ln>
              <a:prstDash val="solid"/>
            </a:ln>
          </spPr>
          <cat>
            <numRef>
              <f>'06_С_учётом_списаний'!$A$33:$A$42</f>
            </numRef>
          </cat>
          <val>
            <numRef>
              <f>'06_С_учётом_списаний'!$C$33:$C$42</f>
            </numRef>
          </val>
        </ser>
        <ser>
          <idx val="2"/>
          <order val="2"/>
          <tx>
            <strRef>
              <f>'06_С_учётом_списаний'!D32</f>
            </strRef>
          </tx>
          <spPr>
            <a:ln>
              <a:prstDash val="solid"/>
            </a:ln>
          </spPr>
          <cat>
            <numRef>
              <f>'06_С_учётом_списаний'!$A$33:$A$42</f>
            </numRef>
          </cat>
          <val>
            <numRef>
              <f>'06_С_учётом_списаний'!$D$33:$D$42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грн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  <col width="40" customWidth="1" min="4" max="4"/>
    <col width="10" customWidth="1" min="5" max="5"/>
    <col width="10" customWidth="1" min="6" max="6"/>
  </cols>
  <sheetData>
    <row r="1">
      <c r="A1" s="1" t="inlineStr">
        <is>
          <t>PTM — примеры отчётов о рентабельности (тестовые данные)</t>
        </is>
      </c>
    </row>
    <row r="2">
      <c r="A2" s="2" t="inlineStr">
        <is>
          <t>Случайные данные, seed=42. Не из живой ИБ. Формулы: Валовая прибыль = Продажи − Себестоимость; Рентабельность % = Валовая / Продажи.</t>
        </is>
      </c>
    </row>
    <row r="4">
      <c r="A4" s="3" t="inlineStr">
        <is>
          <t>Лист</t>
        </is>
      </c>
      <c r="B4" s="3" t="inlineStr">
        <is>
          <t>Назначение</t>
        </is>
      </c>
      <c r="C4" s="3" t="inlineStr">
        <is>
          <t>Группировки</t>
        </is>
      </c>
      <c r="D4" s="3" t="inlineStr">
        <is>
          <t>Метрики</t>
        </is>
      </c>
    </row>
    <row r="5">
      <c r="A5" s="4" t="inlineStr">
        <is>
          <t>01_По_номенклатуре</t>
        </is>
      </c>
      <c r="B5" s="4" t="inlineStr">
        <is>
          <t>Зеркало текущего СКД «Валовая прибыль»</t>
        </is>
      </c>
      <c r="C5" s="4" t="inlineStr">
        <is>
          <t>День → Номенклатура</t>
        </is>
      </c>
      <c r="D5" s="4" t="inlineStr">
        <is>
          <t>Кол-во, Себест., Продажи, Вал.прибыль, Рент.%</t>
        </is>
      </c>
    </row>
    <row r="6">
      <c r="A6" s="4" t="inlineStr">
        <is>
          <t>02_По_кассам_группам</t>
        </is>
      </c>
      <c r="B6" s="4" t="inlineStr">
        <is>
          <t>Как «Анализ продаж», но с маржой</t>
        </is>
      </c>
      <c r="C6" s="4" t="inlineStr">
        <is>
          <t>Касса → Группа → Номенклатура</t>
        </is>
      </c>
      <c r="D6" s="4" t="inlineStr">
        <is>
          <t>те же 5 метрик + итоги</t>
        </is>
      </c>
    </row>
    <row r="7">
      <c r="A7" s="4" t="inlineStr">
        <is>
          <t>06_С_учётом_списаний</t>
        </is>
      </c>
      <c r="B7" s="4" t="inlineStr">
        <is>
          <t>Продажи + оценка потерь от списаний → скорректированная прибыль</t>
        </is>
      </c>
      <c r="C7" s="4" t="inlineStr">
        <is>
          <t>Номенклатура (+ деталь списаний)</t>
        </is>
      </c>
      <c r="D7" s="4" t="inlineStr">
        <is>
          <t>Маржа продаж, списания (оценка), прибыль с учётом списаний</t>
        </is>
      </c>
    </row>
    <row r="8">
      <c r="A8" s="4" t="inlineStr">
        <is>
          <t>04_KPI_свод</t>
        </is>
      </c>
      <c r="B8" s="4" t="inlineStr">
        <is>
          <t>P&amp;L-lite: только gross</t>
        </is>
      </c>
      <c r="C8" s="4" t="inlineStr">
        <is>
          <t>KPI + матрица по месяцам × группам</t>
        </is>
      </c>
      <c r="D8" s="4" t="inlineStr">
        <is>
          <t>Σ и %</t>
        </is>
      </c>
    </row>
    <row r="9">
      <c r="A9" s="4" t="inlineStr">
        <is>
          <t>05_Сырые_данные</t>
        </is>
      </c>
      <c r="B9" s="4" t="inlineStr">
        <is>
          <t>Исходник для pivot (можно крутить в Excel)</t>
        </is>
      </c>
      <c r="C9" s="4" t="inlineStr">
        <is>
          <t>плоская таблица</t>
        </is>
      </c>
      <c r="D9" s="4" t="inlineStr">
        <is>
          <t>все поля</t>
        </is>
      </c>
    </row>
    <row r="11">
      <c r="A11" s="2" t="inlineStr">
        <is>
          <t>Цветовая шкала на %: красный (низкая) → жёлтый → зелёный (высокая).</t>
        </is>
      </c>
    </row>
    <row r="12">
      <c r="A12" s="2" t="inlineStr">
        <is>
          <t>Рекомендация: смотреть листы 01–04 как прототипы макетов СКД; 05 — сводная таблица.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2" customWidth="1" min="4" max="4"/>
    <col width="15" customWidth="1" min="5" max="5"/>
    <col width="17" customWidth="1" min="6" max="6"/>
    <col width="17" customWidth="1" min="7" max="7"/>
    <col width="21" customWidth="1" min="8" max="8"/>
  </cols>
  <sheetData>
    <row r="1">
      <c r="A1" s="1" t="inlineStr">
        <is>
          <t>Валовая прибыль по номенклатуре / периодам</t>
        </is>
      </c>
    </row>
    <row r="2">
      <c r="A2" s="2" t="inlineStr">
        <is>
          <t>Аналог отчёта Анл_ВаловаяПрибыль. Фильтр: июнь 2026. Сортировка по валовой прибыли (убыв.).</t>
        </is>
      </c>
    </row>
    <row r="4" ht="30" customHeight="1">
      <c r="A4" s="5" t="inlineStr">
        <is>
          <t>Дата</t>
        </is>
      </c>
      <c r="B4" s="5" t="inlineStr">
        <is>
          <t>Номенклатура</t>
        </is>
      </c>
      <c r="C4" s="5" t="inlineStr">
        <is>
          <t>Группа</t>
        </is>
      </c>
      <c r="D4" s="5" t="inlineStr">
        <is>
          <t>Количество</t>
        </is>
      </c>
      <c r="E4" s="5" t="inlineStr">
        <is>
          <t>Себестоимость</t>
        </is>
      </c>
      <c r="F4" s="5" t="inlineStr">
        <is>
          <t>Продажная сумма</t>
        </is>
      </c>
      <c r="G4" s="5" t="inlineStr">
        <is>
          <t>Валовая прибыль</t>
        </is>
      </c>
      <c r="H4" s="5" t="inlineStr">
        <is>
          <t>Рентабельность %</t>
        </is>
      </c>
    </row>
    <row r="5">
      <c r="A5" s="49" t="n">
        <v>46197</v>
      </c>
      <c r="B5" s="7" t="inlineStr">
        <is>
          <t>Курица охлажд. кг</t>
        </is>
      </c>
      <c r="C5" s="8" t="inlineStr">
        <is>
          <t>Мясо</t>
        </is>
      </c>
      <c r="D5" s="50" t="n">
        <v>89.499</v>
      </c>
      <c r="E5" s="10" t="n">
        <v>12836.18</v>
      </c>
      <c r="F5" s="10" t="n">
        <v>17115.92</v>
      </c>
      <c r="G5" s="10" t="n">
        <v>4279.74</v>
      </c>
      <c r="H5" s="51" t="n">
        <v>0.250044403105413</v>
      </c>
    </row>
    <row r="6">
      <c r="A6" s="52" t="n">
        <v>46196</v>
      </c>
      <c r="B6" s="13" t="inlineStr">
        <is>
          <t>Чай чёрный 100пак</t>
        </is>
      </c>
      <c r="C6" s="14" t="inlineStr">
        <is>
          <t>Напитки</t>
        </is>
      </c>
      <c r="D6" s="53" t="n">
        <v>38.314</v>
      </c>
      <c r="E6" s="16" t="n">
        <v>8391.92</v>
      </c>
      <c r="F6" s="16" t="n">
        <v>11255.5</v>
      </c>
      <c r="G6" s="16" t="n">
        <v>2863.58</v>
      </c>
      <c r="H6" s="54" t="n">
        <v>0.2544160632579628</v>
      </c>
    </row>
    <row r="7">
      <c r="A7" s="49" t="n">
        <v>46201</v>
      </c>
      <c r="B7" s="7" t="inlineStr">
        <is>
          <t>Сигареты премиум</t>
        </is>
      </c>
      <c r="C7" s="8" t="inlineStr">
        <is>
          <t>Табак</t>
        </is>
      </c>
      <c r="D7" s="50" t="n">
        <v>24.46</v>
      </c>
      <c r="E7" s="10" t="n">
        <v>5196.28</v>
      </c>
      <c r="F7" s="10" t="n">
        <v>7880.52</v>
      </c>
      <c r="G7" s="10" t="n">
        <v>2684.24</v>
      </c>
      <c r="H7" s="51" t="n">
        <v>0.3406171166369731</v>
      </c>
    </row>
    <row r="8">
      <c r="A8" s="52" t="n">
        <v>46197</v>
      </c>
      <c r="B8" s="13" t="inlineStr">
        <is>
          <t>Шоколад 90г</t>
        </is>
      </c>
      <c r="C8" s="14" t="inlineStr">
        <is>
          <t>Кондитерка</t>
        </is>
      </c>
      <c r="D8" s="53" t="n">
        <v>29.518</v>
      </c>
      <c r="E8" s="16" t="n">
        <v>5241.51</v>
      </c>
      <c r="F8" s="16" t="n">
        <v>7872.75</v>
      </c>
      <c r="G8" s="16" t="n">
        <v>2631.24</v>
      </c>
      <c r="H8" s="54" t="n">
        <v>0.334221206058874</v>
      </c>
    </row>
    <row r="9">
      <c r="A9" s="49" t="n">
        <v>46181</v>
      </c>
      <c r="B9" s="7" t="inlineStr">
        <is>
          <t>Шоколад 90г</t>
        </is>
      </c>
      <c r="C9" s="8" t="inlineStr">
        <is>
          <t>Кондитерка</t>
        </is>
      </c>
      <c r="D9" s="50" t="n">
        <v>27.542</v>
      </c>
      <c r="E9" s="10" t="n">
        <v>5141.54</v>
      </c>
      <c r="F9" s="10" t="n">
        <v>7428.08</v>
      </c>
      <c r="G9" s="10" t="n">
        <v>2286.54</v>
      </c>
      <c r="H9" s="51" t="n">
        <v>0.3078238252684408</v>
      </c>
    </row>
    <row r="10">
      <c r="A10" s="52" t="n">
        <v>46188</v>
      </c>
      <c r="B10" s="13" t="inlineStr">
        <is>
          <t>Йогурт 150г</t>
        </is>
      </c>
      <c r="C10" s="14" t="inlineStr">
        <is>
          <t>Молочные</t>
        </is>
      </c>
      <c r="D10" s="53" t="n">
        <v>21.4</v>
      </c>
      <c r="E10" s="16" t="n">
        <v>4576.82</v>
      </c>
      <c r="F10" s="16" t="n">
        <v>6794.5</v>
      </c>
      <c r="G10" s="16" t="n">
        <v>2217.68</v>
      </c>
      <c r="H10" s="54" t="n">
        <v>0.3263934064316726</v>
      </c>
    </row>
    <row r="11">
      <c r="A11" s="49" t="n">
        <v>46187</v>
      </c>
      <c r="B11" s="7" t="inlineStr">
        <is>
          <t>Вода 1.5л</t>
        </is>
      </c>
      <c r="C11" s="8" t="inlineStr">
        <is>
          <t>Напитки</t>
        </is>
      </c>
      <c r="D11" s="50" t="n">
        <v>35.502</v>
      </c>
      <c r="E11" s="10" t="n">
        <v>4616.68</v>
      </c>
      <c r="F11" s="10" t="n">
        <v>6544.79</v>
      </c>
      <c r="G11" s="10" t="n">
        <v>1928.11</v>
      </c>
      <c r="H11" s="51" t="n">
        <v>0.2946022714250572</v>
      </c>
    </row>
    <row r="12">
      <c r="A12" s="52" t="n">
        <v>46202</v>
      </c>
      <c r="B12" s="13" t="inlineStr">
        <is>
          <t>Йогурт 150г</t>
        </is>
      </c>
      <c r="C12" s="14" t="inlineStr">
        <is>
          <t>Молочные</t>
        </is>
      </c>
      <c r="D12" s="53" t="n">
        <v>34.537</v>
      </c>
      <c r="E12" s="16" t="n">
        <v>4503.62</v>
      </c>
      <c r="F12" s="16" t="n">
        <v>6355.15</v>
      </c>
      <c r="G12" s="16" t="n">
        <v>1851.53</v>
      </c>
      <c r="H12" s="54" t="n">
        <v>0.2913432413082304</v>
      </c>
    </row>
    <row r="13">
      <c r="A13" s="49" t="n">
        <v>46193</v>
      </c>
      <c r="B13" s="7" t="inlineStr">
        <is>
          <t>Вода 1.5л</t>
        </is>
      </c>
      <c r="C13" s="8" t="inlineStr">
        <is>
          <t>Напитки</t>
        </is>
      </c>
      <c r="D13" s="50" t="n">
        <v>32.693</v>
      </c>
      <c r="E13" s="10" t="n">
        <v>6444.12</v>
      </c>
      <c r="F13" s="10" t="n">
        <v>8252.040000000001</v>
      </c>
      <c r="G13" s="10" t="n">
        <v>1807.92</v>
      </c>
      <c r="H13" s="51" t="n">
        <v>0.2190876437826283</v>
      </c>
    </row>
    <row r="14">
      <c r="A14" s="52" t="n">
        <v>46197</v>
      </c>
      <c r="B14" s="13" t="inlineStr">
        <is>
          <t>Рис 1кг</t>
        </is>
      </c>
      <c r="C14" s="14" t="inlineStr">
        <is>
          <t>Бакалея</t>
        </is>
      </c>
      <c r="D14" s="53" t="n">
        <v>31.564</v>
      </c>
      <c r="E14" s="16" t="n">
        <v>3172.81</v>
      </c>
      <c r="F14" s="16" t="n">
        <v>4894.31</v>
      </c>
      <c r="G14" s="16" t="n">
        <v>1721.5</v>
      </c>
      <c r="H14" s="54" t="n">
        <v>0.3517349738778295</v>
      </c>
    </row>
    <row r="15">
      <c r="A15" s="49" t="n">
        <v>46177</v>
      </c>
      <c r="B15" s="7" t="inlineStr">
        <is>
          <t>Кофе молотый 250г</t>
        </is>
      </c>
      <c r="C15" s="8" t="inlineStr">
        <is>
          <t>Напитки</t>
        </is>
      </c>
      <c r="D15" s="50" t="n">
        <v>37.693</v>
      </c>
      <c r="E15" s="10" t="n">
        <v>4853.73</v>
      </c>
      <c r="F15" s="10" t="n">
        <v>6562.73</v>
      </c>
      <c r="G15" s="10" t="n">
        <v>1709</v>
      </c>
      <c r="H15" s="51" t="n">
        <v>0.2604099208713447</v>
      </c>
    </row>
    <row r="16">
      <c r="A16" s="52" t="n">
        <v>46176</v>
      </c>
      <c r="B16" s="13" t="inlineStr">
        <is>
          <t>Масло подсолн. 1л</t>
        </is>
      </c>
      <c r="C16" s="14" t="inlineStr">
        <is>
          <t>Бакалея</t>
        </is>
      </c>
      <c r="D16" s="53" t="n">
        <v>34.285</v>
      </c>
      <c r="E16" s="16" t="n">
        <v>6572.09</v>
      </c>
      <c r="F16" s="16" t="n">
        <v>8271.940000000001</v>
      </c>
      <c r="G16" s="16" t="n">
        <v>1699.85</v>
      </c>
      <c r="H16" s="54" t="n">
        <v>0.2054959296126422</v>
      </c>
    </row>
    <row r="17">
      <c r="A17" s="49" t="n">
        <v>46185</v>
      </c>
      <c r="B17" s="7" t="inlineStr">
        <is>
          <t>Колбаса варёная 400г</t>
        </is>
      </c>
      <c r="C17" s="8" t="inlineStr">
        <is>
          <t>Мясо</t>
        </is>
      </c>
      <c r="D17" s="50" t="n">
        <v>30.619</v>
      </c>
      <c r="E17" s="10" t="n">
        <v>3746.23</v>
      </c>
      <c r="F17" s="10" t="n">
        <v>5416.81</v>
      </c>
      <c r="G17" s="10" t="n">
        <v>1670.58</v>
      </c>
      <c r="H17" s="51" t="n">
        <v>0.3084066083174414</v>
      </c>
    </row>
    <row r="18">
      <c r="A18" s="52" t="n">
        <v>46186</v>
      </c>
      <c r="B18" s="13" t="inlineStr">
        <is>
          <t>Масло подсолн. 1л</t>
        </is>
      </c>
      <c r="C18" s="14" t="inlineStr">
        <is>
          <t>Бакалея</t>
        </is>
      </c>
      <c r="D18" s="53" t="n">
        <v>39.808</v>
      </c>
      <c r="E18" s="16" t="n">
        <v>5802.81</v>
      </c>
      <c r="F18" s="16" t="n">
        <v>7462.01</v>
      </c>
      <c r="G18" s="16" t="n">
        <v>1659.2</v>
      </c>
      <c r="H18" s="54" t="n">
        <v>0.2223529585192194</v>
      </c>
    </row>
    <row r="19">
      <c r="A19" s="49" t="n">
        <v>46183</v>
      </c>
      <c r="B19" s="7" t="inlineStr">
        <is>
          <t>Хлеб белый 500г</t>
        </is>
      </c>
      <c r="C19" s="8" t="inlineStr">
        <is>
          <t>Хлеб</t>
        </is>
      </c>
      <c r="D19" s="50" t="n">
        <v>14.904</v>
      </c>
      <c r="E19" s="10" t="n">
        <v>3067.39</v>
      </c>
      <c r="F19" s="10" t="n">
        <v>4714.43</v>
      </c>
      <c r="G19" s="10" t="n">
        <v>1647.04</v>
      </c>
      <c r="H19" s="51" t="n">
        <v>0.349361428635063</v>
      </c>
    </row>
    <row r="20">
      <c r="A20" s="52" t="n">
        <v>46181</v>
      </c>
      <c r="B20" s="13" t="inlineStr">
        <is>
          <t>Колбаса варёная 400г</t>
        </is>
      </c>
      <c r="C20" s="14" t="inlineStr">
        <is>
          <t>Мясо</t>
        </is>
      </c>
      <c r="D20" s="53" t="n">
        <v>29.927</v>
      </c>
      <c r="E20" s="16" t="n">
        <v>3658.88</v>
      </c>
      <c r="F20" s="16" t="n">
        <v>5236.33</v>
      </c>
      <c r="G20" s="16" t="n">
        <v>1577.45</v>
      </c>
      <c r="H20" s="54" t="n">
        <v>0.3012510670641461</v>
      </c>
    </row>
    <row r="21">
      <c r="A21" s="49" t="n">
        <v>46194</v>
      </c>
      <c r="B21" s="7" t="inlineStr">
        <is>
          <t>Яблоки кг</t>
        </is>
      </c>
      <c r="C21" s="8" t="inlineStr">
        <is>
          <t>Овощи-фрукты</t>
        </is>
      </c>
      <c r="D21" s="50" t="n">
        <v>20.22</v>
      </c>
      <c r="E21" s="10" t="n">
        <v>3954.02</v>
      </c>
      <c r="F21" s="10" t="n">
        <v>5465.06</v>
      </c>
      <c r="G21" s="10" t="n">
        <v>1511.04</v>
      </c>
      <c r="H21" s="51" t="n">
        <v>0.2764910174819672</v>
      </c>
    </row>
    <row r="22">
      <c r="A22" s="52" t="n">
        <v>46174</v>
      </c>
      <c r="B22" s="13" t="inlineStr">
        <is>
          <t>Вода 1.5л</t>
        </is>
      </c>
      <c r="C22" s="14" t="inlineStr">
        <is>
          <t>Напитки</t>
        </is>
      </c>
      <c r="D22" s="53" t="n">
        <v>38.176</v>
      </c>
      <c r="E22" s="16" t="n">
        <v>7393.93</v>
      </c>
      <c r="F22" s="16" t="n">
        <v>8900.73</v>
      </c>
      <c r="G22" s="16" t="n">
        <v>1506.8</v>
      </c>
      <c r="H22" s="54" t="n">
        <v>0.1692894852444687</v>
      </c>
    </row>
    <row r="23">
      <c r="A23" s="49" t="n">
        <v>46179</v>
      </c>
      <c r="B23" s="7" t="inlineStr">
        <is>
          <t>Бананы кг</t>
        </is>
      </c>
      <c r="C23" s="8" t="inlineStr">
        <is>
          <t>Овощи-фрукты</t>
        </is>
      </c>
      <c r="D23" s="50" t="n">
        <v>32.262</v>
      </c>
      <c r="E23" s="10" t="n">
        <v>5017.71</v>
      </c>
      <c r="F23" s="10" t="n">
        <v>6514.67</v>
      </c>
      <c r="G23" s="10" t="n">
        <v>1496.96</v>
      </c>
      <c r="H23" s="51" t="n">
        <v>0.229782936050483</v>
      </c>
    </row>
    <row r="24">
      <c r="A24" s="52" t="n">
        <v>46195</v>
      </c>
      <c r="B24" s="13" t="inlineStr">
        <is>
          <t>Чай чёрный 100пак</t>
        </is>
      </c>
      <c r="C24" s="14" t="inlineStr">
        <is>
          <t>Напитки</t>
        </is>
      </c>
      <c r="D24" s="53" t="n">
        <v>23.555</v>
      </c>
      <c r="E24" s="16" t="n">
        <v>2799.04</v>
      </c>
      <c r="F24" s="16" t="n">
        <v>4252.62</v>
      </c>
      <c r="G24" s="16" t="n">
        <v>1453.58</v>
      </c>
      <c r="H24" s="54" t="n">
        <v>0.3418081088834648</v>
      </c>
    </row>
    <row r="25">
      <c r="A25" s="49" t="n">
        <v>46200</v>
      </c>
      <c r="B25" s="7" t="inlineStr">
        <is>
          <t>Яблоки кг</t>
        </is>
      </c>
      <c r="C25" s="8" t="inlineStr">
        <is>
          <t>Овощи-фрукты</t>
        </is>
      </c>
      <c r="D25" s="50" t="n">
        <v>36.779</v>
      </c>
      <c r="E25" s="10" t="n">
        <v>3020.66</v>
      </c>
      <c r="F25" s="10" t="n">
        <v>4427.09</v>
      </c>
      <c r="G25" s="10" t="n">
        <v>1406.43</v>
      </c>
      <c r="H25" s="51" t="n">
        <v>0.3176872392474515</v>
      </c>
    </row>
    <row r="26">
      <c r="A26" s="52" t="n">
        <v>46180</v>
      </c>
      <c r="B26" s="13" t="inlineStr">
        <is>
          <t>Хлеб белый 500г</t>
        </is>
      </c>
      <c r="C26" s="14" t="inlineStr">
        <is>
          <t>Хлеб</t>
        </is>
      </c>
      <c r="D26" s="53" t="n">
        <v>33.399</v>
      </c>
      <c r="E26" s="16" t="n">
        <v>3024.95</v>
      </c>
      <c r="F26" s="16" t="n">
        <v>4361.24</v>
      </c>
      <c r="G26" s="16" t="n">
        <v>1336.29</v>
      </c>
      <c r="H26" s="54" t="n">
        <v>0.3064013904302446</v>
      </c>
    </row>
    <row r="27">
      <c r="A27" s="49" t="n">
        <v>46180</v>
      </c>
      <c r="B27" s="7" t="inlineStr">
        <is>
          <t>Шоколад 90г</t>
        </is>
      </c>
      <c r="C27" s="8" t="inlineStr">
        <is>
          <t>Кондитерка</t>
        </is>
      </c>
      <c r="D27" s="50" t="n">
        <v>28.783</v>
      </c>
      <c r="E27" s="10" t="n">
        <v>4509.72</v>
      </c>
      <c r="F27" s="10" t="n">
        <v>5759.77</v>
      </c>
      <c r="G27" s="10" t="n">
        <v>1250.05</v>
      </c>
      <c r="H27" s="51" t="n">
        <v>0.2170312356222557</v>
      </c>
    </row>
    <row r="28">
      <c r="A28" s="52" t="n">
        <v>46198</v>
      </c>
      <c r="B28" s="13" t="inlineStr">
        <is>
          <t>Молоко 2.5% 1л</t>
        </is>
      </c>
      <c r="C28" s="14" t="inlineStr">
        <is>
          <t>Молочные</t>
        </is>
      </c>
      <c r="D28" s="53" t="n">
        <v>32.33</v>
      </c>
      <c r="E28" s="16" t="n">
        <v>5043.8</v>
      </c>
      <c r="F28" s="16" t="n">
        <v>6253.92</v>
      </c>
      <c r="G28" s="16" t="n">
        <v>1210.12</v>
      </c>
      <c r="H28" s="54" t="n">
        <v>0.1934978381559086</v>
      </c>
    </row>
    <row r="29">
      <c r="A29" s="49" t="n">
        <v>46186</v>
      </c>
      <c r="B29" s="7" t="inlineStr">
        <is>
          <t>Сигареты премиум</t>
        </is>
      </c>
      <c r="C29" s="8" t="inlineStr">
        <is>
          <t>Табак</t>
        </is>
      </c>
      <c r="D29" s="50" t="n">
        <v>27.341</v>
      </c>
      <c r="E29" s="10" t="n">
        <v>5108.94</v>
      </c>
      <c r="F29" s="10" t="n">
        <v>6312.76</v>
      </c>
      <c r="G29" s="10" t="n">
        <v>1203.82</v>
      </c>
      <c r="H29" s="51" t="n">
        <v>0.1906963039938157</v>
      </c>
    </row>
    <row r="30">
      <c r="A30" s="52" t="n">
        <v>46174</v>
      </c>
      <c r="B30" s="13" t="inlineStr">
        <is>
          <t>Кофе молотый 250г</t>
        </is>
      </c>
      <c r="C30" s="14" t="inlineStr">
        <is>
          <t>Напитки</t>
        </is>
      </c>
      <c r="D30" s="53" t="n">
        <v>39.42</v>
      </c>
      <c r="E30" s="16" t="n">
        <v>2531.55</v>
      </c>
      <c r="F30" s="16" t="n">
        <v>3666.85</v>
      </c>
      <c r="G30" s="16" t="n">
        <v>1135.3</v>
      </c>
      <c r="H30" s="54" t="n">
        <v>0.3096117921376658</v>
      </c>
    </row>
    <row r="31">
      <c r="A31" s="49" t="n">
        <v>46187</v>
      </c>
      <c r="B31" s="7" t="inlineStr">
        <is>
          <t>Яблоки кг</t>
        </is>
      </c>
      <c r="C31" s="8" t="inlineStr">
        <is>
          <t>Овощи-фрукты</t>
        </is>
      </c>
      <c r="D31" s="50" t="n">
        <v>26.765</v>
      </c>
      <c r="E31" s="10" t="n">
        <v>2365.49</v>
      </c>
      <c r="F31" s="10" t="n">
        <v>3386.58</v>
      </c>
      <c r="G31" s="10" t="n">
        <v>1021.09</v>
      </c>
      <c r="H31" s="51" t="n">
        <v>0.3015106685801014</v>
      </c>
    </row>
    <row r="32">
      <c r="A32" s="52" t="n">
        <v>46179</v>
      </c>
      <c r="B32" s="13" t="inlineStr">
        <is>
          <t>Картофель кг</t>
        </is>
      </c>
      <c r="C32" s="14" t="inlineStr">
        <is>
          <t>Овощи-фрукты</t>
        </is>
      </c>
      <c r="D32" s="53" t="n">
        <v>55.034</v>
      </c>
      <c r="E32" s="16" t="n">
        <v>6050.58</v>
      </c>
      <c r="F32" s="16" t="n">
        <v>7026.35</v>
      </c>
      <c r="G32" s="16" t="n">
        <v>975.77</v>
      </c>
      <c r="H32" s="54" t="n">
        <v>0.1388729567983377</v>
      </c>
    </row>
    <row r="33">
      <c r="A33" s="49" t="n">
        <v>46180</v>
      </c>
      <c r="B33" s="7" t="inlineStr">
        <is>
          <t>Колбаса варёная 400г</t>
        </is>
      </c>
      <c r="C33" s="8" t="inlineStr">
        <is>
          <t>Мясо</t>
        </is>
      </c>
      <c r="D33" s="50" t="n">
        <v>12.22</v>
      </c>
      <c r="E33" s="10" t="n">
        <v>2607.38</v>
      </c>
      <c r="F33" s="10" t="n">
        <v>3525.71</v>
      </c>
      <c r="G33" s="10" t="n">
        <v>918.33</v>
      </c>
      <c r="H33" s="51" t="n">
        <v>0.2604666861426493</v>
      </c>
    </row>
    <row r="34">
      <c r="A34" s="52" t="n">
        <v>46185</v>
      </c>
      <c r="B34" s="13" t="inlineStr">
        <is>
          <t>Курица охлажд. кг</t>
        </is>
      </c>
      <c r="C34" s="14" t="inlineStr">
        <is>
          <t>Мясо</t>
        </is>
      </c>
      <c r="D34" s="53" t="n">
        <v>14.533</v>
      </c>
      <c r="E34" s="16" t="n">
        <v>2181.11</v>
      </c>
      <c r="F34" s="16" t="n">
        <v>3075.04</v>
      </c>
      <c r="G34" s="16" t="n">
        <v>893.9299999999999</v>
      </c>
      <c r="H34" s="54" t="n">
        <v>0.290705161558874</v>
      </c>
    </row>
    <row r="35">
      <c r="A35" s="49" t="n">
        <v>46186</v>
      </c>
      <c r="B35" s="7" t="inlineStr">
        <is>
          <t>Печенье 300г</t>
        </is>
      </c>
      <c r="C35" s="8" t="inlineStr">
        <is>
          <t>Кондитерка</t>
        </is>
      </c>
      <c r="D35" s="50" t="n">
        <v>19.341</v>
      </c>
      <c r="E35" s="10" t="n">
        <v>4020.22</v>
      </c>
      <c r="F35" s="10" t="n">
        <v>4906.04</v>
      </c>
      <c r="G35" s="10" t="n">
        <v>885.8200000000001</v>
      </c>
      <c r="H35" s="51" t="n">
        <v>0.1805570276638593</v>
      </c>
    </row>
    <row r="36">
      <c r="A36" s="52" t="n">
        <v>46181</v>
      </c>
      <c r="B36" s="13" t="inlineStr">
        <is>
          <t>Хлеб белый 500г</t>
        </is>
      </c>
      <c r="C36" s="14" t="inlineStr">
        <is>
          <t>Хлеб</t>
        </is>
      </c>
      <c r="D36" s="53" t="n">
        <v>35.181</v>
      </c>
      <c r="E36" s="16" t="n">
        <v>7344.03</v>
      </c>
      <c r="F36" s="16" t="n">
        <v>8227.08</v>
      </c>
      <c r="G36" s="16" t="n">
        <v>883.05</v>
      </c>
      <c r="H36" s="54" t="n">
        <v>0.1073345585554048</v>
      </c>
    </row>
    <row r="37">
      <c r="A37" s="49" t="n">
        <v>46180</v>
      </c>
      <c r="B37" s="7" t="inlineStr">
        <is>
          <t>Сахар 1кг</t>
        </is>
      </c>
      <c r="C37" s="8" t="inlineStr">
        <is>
          <t>Бакалея</t>
        </is>
      </c>
      <c r="D37" s="50" t="n">
        <v>18.461</v>
      </c>
      <c r="E37" s="10" t="n">
        <v>1468.57</v>
      </c>
      <c r="F37" s="10" t="n">
        <v>2193.17</v>
      </c>
      <c r="G37" s="10" t="n">
        <v>724.6</v>
      </c>
      <c r="H37" s="51" t="n">
        <v>0.3303893451032068</v>
      </c>
    </row>
    <row r="38">
      <c r="A38" s="52" t="n">
        <v>46183</v>
      </c>
      <c r="B38" s="13" t="inlineStr">
        <is>
          <t>Яйца С1 10шт</t>
        </is>
      </c>
      <c r="C38" s="14" t="inlineStr">
        <is>
          <t>Яйца</t>
        </is>
      </c>
      <c r="D38" s="53" t="n">
        <v>20.86</v>
      </c>
      <c r="E38" s="16" t="n">
        <v>2965.87</v>
      </c>
      <c r="F38" s="16" t="n">
        <v>3670.32</v>
      </c>
      <c r="G38" s="16" t="n">
        <v>704.45</v>
      </c>
      <c r="H38" s="54" t="n">
        <v>0.19193149371172</v>
      </c>
    </row>
    <row r="39">
      <c r="A39" s="49" t="n">
        <v>46187</v>
      </c>
      <c r="B39" s="7" t="inlineStr">
        <is>
          <t>Картофель кг</t>
        </is>
      </c>
      <c r="C39" s="8" t="inlineStr">
        <is>
          <t>Овощи-фрукты</t>
        </is>
      </c>
      <c r="D39" s="50" t="n">
        <v>19.683</v>
      </c>
      <c r="E39" s="10" t="n">
        <v>1780.13</v>
      </c>
      <c r="F39" s="10" t="n">
        <v>2482.22</v>
      </c>
      <c r="G39" s="10" t="n">
        <v>702.09</v>
      </c>
      <c r="H39" s="51" t="n">
        <v>0.2828476122180951</v>
      </c>
    </row>
    <row r="40">
      <c r="A40" s="52" t="n">
        <v>46186</v>
      </c>
      <c r="B40" s="13" t="inlineStr">
        <is>
          <t>Хлеб белый 500г</t>
        </is>
      </c>
      <c r="C40" s="14" t="inlineStr">
        <is>
          <t>Хлеб</t>
        </is>
      </c>
      <c r="D40" s="53" t="n">
        <v>29.264</v>
      </c>
      <c r="E40" s="16" t="n">
        <v>5201.09</v>
      </c>
      <c r="F40" s="16" t="n">
        <v>5884.41</v>
      </c>
      <c r="G40" s="16" t="n">
        <v>683.3200000000001</v>
      </c>
      <c r="H40" s="54" t="n">
        <v>0.1161237915101089</v>
      </c>
    </row>
    <row r="41">
      <c r="A41" s="49" t="n">
        <v>46195</v>
      </c>
      <c r="B41" s="7" t="inlineStr">
        <is>
          <t>Яблоки кг</t>
        </is>
      </c>
      <c r="C41" s="8" t="inlineStr">
        <is>
          <t>Овощи-фрукты</t>
        </is>
      </c>
      <c r="D41" s="50" t="n">
        <v>35.908</v>
      </c>
      <c r="E41" s="10" t="n">
        <v>1942.82</v>
      </c>
      <c r="F41" s="10" t="n">
        <v>2586.58</v>
      </c>
      <c r="G41" s="10" t="n">
        <v>643.76</v>
      </c>
      <c r="H41" s="51" t="n">
        <v>0.2488846275777281</v>
      </c>
    </row>
    <row r="42">
      <c r="A42" s="52" t="n">
        <v>46198</v>
      </c>
      <c r="B42" s="13" t="inlineStr">
        <is>
          <t>Шоколад 90г</t>
        </is>
      </c>
      <c r="C42" s="14" t="inlineStr">
        <is>
          <t>Кондитерка</t>
        </is>
      </c>
      <c r="D42" s="53" t="n">
        <v>16.508</v>
      </c>
      <c r="E42" s="16" t="n">
        <v>2396.99</v>
      </c>
      <c r="F42" s="16" t="n">
        <v>3031.78</v>
      </c>
      <c r="G42" s="16" t="n">
        <v>634.79</v>
      </c>
      <c r="H42" s="54" t="n">
        <v>0.2093786488465522</v>
      </c>
    </row>
    <row r="43">
      <c r="A43" s="49" t="n">
        <v>46194</v>
      </c>
      <c r="B43" s="7" t="inlineStr">
        <is>
          <t>Яйца С1 10шт</t>
        </is>
      </c>
      <c r="C43" s="8" t="inlineStr">
        <is>
          <t>Яйца</t>
        </is>
      </c>
      <c r="D43" s="50" t="n">
        <v>17.43</v>
      </c>
      <c r="E43" s="10" t="n">
        <v>3342.55</v>
      </c>
      <c r="F43" s="10" t="n">
        <v>3895.43</v>
      </c>
      <c r="G43" s="10" t="n">
        <v>552.88</v>
      </c>
      <c r="H43" s="51" t="n">
        <v>0.1419304158976031</v>
      </c>
    </row>
    <row r="44">
      <c r="A44" s="52" t="n">
        <v>46183</v>
      </c>
      <c r="B44" s="13" t="inlineStr">
        <is>
          <t>Шоколад 90г</t>
        </is>
      </c>
      <c r="C44" s="14" t="inlineStr">
        <is>
          <t>Кондитерка</t>
        </is>
      </c>
      <c r="D44" s="53" t="n">
        <v>37.304</v>
      </c>
      <c r="E44" s="16" t="n">
        <v>1117.63</v>
      </c>
      <c r="F44" s="16" t="n">
        <v>1668.23</v>
      </c>
      <c r="G44" s="16" t="n">
        <v>550.6</v>
      </c>
      <c r="H44" s="54" t="n">
        <v>0.3300504127128753</v>
      </c>
    </row>
    <row r="45">
      <c r="A45" s="49" t="n">
        <v>46182</v>
      </c>
      <c r="B45" s="7" t="inlineStr">
        <is>
          <t>Бананы кг</t>
        </is>
      </c>
      <c r="C45" s="8" t="inlineStr">
        <is>
          <t>Овощи-фрукты</t>
        </is>
      </c>
      <c r="D45" s="50" t="n">
        <v>16.134</v>
      </c>
      <c r="E45" s="10" t="n">
        <v>2426.55</v>
      </c>
      <c r="F45" s="10" t="n">
        <v>2962.85</v>
      </c>
      <c r="G45" s="10" t="n">
        <v>536.3</v>
      </c>
      <c r="H45" s="51" t="n">
        <v>0.1810081509357544</v>
      </c>
    </row>
    <row r="46">
      <c r="A46" s="52" t="n">
        <v>46197</v>
      </c>
      <c r="B46" s="13" t="inlineStr">
        <is>
          <t>Сыр Гауда 200г</t>
        </is>
      </c>
      <c r="C46" s="14" t="inlineStr">
        <is>
          <t>Молочные</t>
        </is>
      </c>
      <c r="D46" s="53" t="n">
        <v>22.352</v>
      </c>
      <c r="E46" s="16" t="n">
        <v>1469.42</v>
      </c>
      <c r="F46" s="16" t="n">
        <v>2004.75</v>
      </c>
      <c r="G46" s="16" t="n">
        <v>535.33</v>
      </c>
      <c r="H46" s="54" t="n">
        <v>0.2670308018456167</v>
      </c>
    </row>
    <row r="47">
      <c r="A47" s="49" t="n">
        <v>46179</v>
      </c>
      <c r="B47" s="7" t="inlineStr">
        <is>
          <t>Масло подсолн. 1л</t>
        </is>
      </c>
      <c r="C47" s="8" t="inlineStr">
        <is>
          <t>Бакалея</t>
        </is>
      </c>
      <c r="D47" s="50" t="n">
        <v>17.808</v>
      </c>
      <c r="E47" s="10" t="n">
        <v>2193.23</v>
      </c>
      <c r="F47" s="10" t="n">
        <v>2680.46</v>
      </c>
      <c r="G47" s="10" t="n">
        <v>487.23</v>
      </c>
      <c r="H47" s="51" t="n">
        <v>0.1817710392992248</v>
      </c>
    </row>
    <row r="48">
      <c r="A48" s="52" t="n">
        <v>46181</v>
      </c>
      <c r="B48" s="13" t="inlineStr">
        <is>
          <t>Кофе молотый 250г</t>
        </is>
      </c>
      <c r="C48" s="14" t="inlineStr">
        <is>
          <t>Напитки</t>
        </is>
      </c>
      <c r="D48" s="53" t="n">
        <v>6.329</v>
      </c>
      <c r="E48" s="16" t="n">
        <v>973.27</v>
      </c>
      <c r="F48" s="16" t="n">
        <v>1459.47</v>
      </c>
      <c r="G48" s="16" t="n">
        <v>486.2</v>
      </c>
      <c r="H48" s="54" t="n">
        <v>0.3331346310647015</v>
      </c>
    </row>
    <row r="49">
      <c r="A49" s="49" t="n">
        <v>46181</v>
      </c>
      <c r="B49" s="7" t="inlineStr">
        <is>
          <t>Рис 1кг</t>
        </is>
      </c>
      <c r="C49" s="8" t="inlineStr">
        <is>
          <t>Бакалея</t>
        </is>
      </c>
      <c r="D49" s="50" t="n">
        <v>39.894</v>
      </c>
      <c r="E49" s="10" t="n">
        <v>1489.24</v>
      </c>
      <c r="F49" s="10" t="n">
        <v>1954.01</v>
      </c>
      <c r="G49" s="10" t="n">
        <v>464.77</v>
      </c>
      <c r="H49" s="51" t="n">
        <v>0.2378544633855507</v>
      </c>
    </row>
    <row r="50">
      <c r="A50" s="52" t="n">
        <v>46187</v>
      </c>
      <c r="B50" s="13" t="inlineStr">
        <is>
          <t>Рис 1кг</t>
        </is>
      </c>
      <c r="C50" s="14" t="inlineStr">
        <is>
          <t>Бакалея</t>
        </is>
      </c>
      <c r="D50" s="53" t="n">
        <v>20.003</v>
      </c>
      <c r="E50" s="16" t="n">
        <v>3685.08</v>
      </c>
      <c r="F50" s="16" t="n">
        <v>4136.77</v>
      </c>
      <c r="G50" s="16" t="n">
        <v>451.69</v>
      </c>
      <c r="H50" s="54" t="n">
        <v>0.1091890532952037</v>
      </c>
    </row>
    <row r="51">
      <c r="A51" s="49" t="n">
        <v>46191</v>
      </c>
      <c r="B51" s="7" t="inlineStr">
        <is>
          <t>Кофе молотый 250г</t>
        </is>
      </c>
      <c r="C51" s="8" t="inlineStr">
        <is>
          <t>Напитки</t>
        </is>
      </c>
      <c r="D51" s="50" t="n">
        <v>33.432</v>
      </c>
      <c r="E51" s="10" t="n">
        <v>2421.15</v>
      </c>
      <c r="F51" s="10" t="n">
        <v>2854.09</v>
      </c>
      <c r="G51" s="10" t="n">
        <v>432.94</v>
      </c>
      <c r="H51" s="51" t="n">
        <v>0.1516910819210326</v>
      </c>
    </row>
    <row r="52">
      <c r="A52" s="52" t="n">
        <v>46188</v>
      </c>
      <c r="B52" s="13" t="inlineStr">
        <is>
          <t>Молоко 2.5% 1л</t>
        </is>
      </c>
      <c r="C52" s="14" t="inlineStr">
        <is>
          <t>Молочные</t>
        </is>
      </c>
      <c r="D52" s="53" t="n">
        <v>25.036</v>
      </c>
      <c r="E52" s="16" t="n">
        <v>3188.33</v>
      </c>
      <c r="F52" s="16" t="n">
        <v>3593.17</v>
      </c>
      <c r="G52" s="16" t="n">
        <v>404.84</v>
      </c>
      <c r="H52" s="54" t="n">
        <v>0.1126693142823746</v>
      </c>
    </row>
    <row r="53">
      <c r="A53" s="49" t="n">
        <v>46194</v>
      </c>
      <c r="B53" s="7" t="inlineStr">
        <is>
          <t>Колбаса варёная 400г</t>
        </is>
      </c>
      <c r="C53" s="8" t="inlineStr">
        <is>
          <t>Мясо</t>
        </is>
      </c>
      <c r="D53" s="50" t="n">
        <v>6.819</v>
      </c>
      <c r="E53" s="10" t="n">
        <v>1038.26</v>
      </c>
      <c r="F53" s="10" t="n">
        <v>1412.35</v>
      </c>
      <c r="G53" s="10" t="n">
        <v>374.09</v>
      </c>
      <c r="H53" s="51" t="n">
        <v>0.2648706057280419</v>
      </c>
    </row>
    <row r="54">
      <c r="A54" s="52" t="n">
        <v>46196</v>
      </c>
      <c r="B54" s="13" t="inlineStr">
        <is>
          <t>Вода 1.5л</t>
        </is>
      </c>
      <c r="C54" s="14" t="inlineStr">
        <is>
          <t>Напитки</t>
        </is>
      </c>
      <c r="D54" s="53" t="n">
        <v>10.622</v>
      </c>
      <c r="E54" s="16" t="n">
        <v>915.72</v>
      </c>
      <c r="F54" s="16" t="n">
        <v>1249.78</v>
      </c>
      <c r="G54" s="16" t="n">
        <v>334.06</v>
      </c>
      <c r="H54" s="54" t="n">
        <v>0.2672950439277313</v>
      </c>
    </row>
    <row r="55">
      <c r="A55" s="49" t="n">
        <v>46197</v>
      </c>
      <c r="B55" s="7" t="inlineStr">
        <is>
          <t>Хлеб белый 500г</t>
        </is>
      </c>
      <c r="C55" s="8" t="inlineStr">
        <is>
          <t>Хлеб</t>
        </is>
      </c>
      <c r="D55" s="50" t="n">
        <v>18.647</v>
      </c>
      <c r="E55" s="10" t="n">
        <v>642.58</v>
      </c>
      <c r="F55" s="10" t="n">
        <v>972.4400000000001</v>
      </c>
      <c r="G55" s="10" t="n">
        <v>329.86</v>
      </c>
      <c r="H55" s="51" t="n">
        <v>0.3392085887047016</v>
      </c>
    </row>
    <row r="56">
      <c r="A56" s="52" t="n">
        <v>46190</v>
      </c>
      <c r="B56" s="13" t="inlineStr">
        <is>
          <t>Масло подсолн. 1л</t>
        </is>
      </c>
      <c r="C56" s="14" t="inlineStr">
        <is>
          <t>Бакалея</t>
        </is>
      </c>
      <c r="D56" s="53" t="n">
        <v>12.717</v>
      </c>
      <c r="E56" s="16" t="n">
        <v>1202.77</v>
      </c>
      <c r="F56" s="16" t="n">
        <v>1526.42</v>
      </c>
      <c r="G56" s="16" t="n">
        <v>323.65</v>
      </c>
      <c r="H56" s="54" t="n">
        <v>0.2120320750514275</v>
      </c>
    </row>
    <row r="57">
      <c r="A57" s="49" t="n">
        <v>46203</v>
      </c>
      <c r="B57" s="7" t="inlineStr">
        <is>
          <t>Сигареты премиум</t>
        </is>
      </c>
      <c r="C57" s="8" t="inlineStr">
        <is>
          <t>Табак</t>
        </is>
      </c>
      <c r="D57" s="50" t="n">
        <v>4.703</v>
      </c>
      <c r="E57" s="10" t="n">
        <v>661.05</v>
      </c>
      <c r="F57" s="10" t="n">
        <v>975.45</v>
      </c>
      <c r="G57" s="10" t="n">
        <v>314.4</v>
      </c>
      <c r="H57" s="51" t="n">
        <v>0.322312778717515</v>
      </c>
    </row>
    <row r="58">
      <c r="A58" s="52" t="n">
        <v>46195</v>
      </c>
      <c r="B58" s="13" t="inlineStr">
        <is>
          <t>Молоко 2.5% 1л</t>
        </is>
      </c>
      <c r="C58" s="14" t="inlineStr">
        <is>
          <t>Молочные</t>
        </is>
      </c>
      <c r="D58" s="53" t="n">
        <v>8.129</v>
      </c>
      <c r="E58" s="16" t="n">
        <v>630.73</v>
      </c>
      <c r="F58" s="16" t="n">
        <v>937.4400000000001</v>
      </c>
      <c r="G58" s="16" t="n">
        <v>306.71</v>
      </c>
      <c r="H58" s="54" t="n">
        <v>0.3271782727427888</v>
      </c>
    </row>
    <row r="59">
      <c r="A59" s="49" t="n">
        <v>46186</v>
      </c>
      <c r="B59" s="7" t="inlineStr">
        <is>
          <t>Сахар 1кг</t>
        </is>
      </c>
      <c r="C59" s="8" t="inlineStr">
        <is>
          <t>Бакалея</t>
        </is>
      </c>
      <c r="D59" s="50" t="n">
        <v>11.076</v>
      </c>
      <c r="E59" s="10" t="n">
        <v>584.04</v>
      </c>
      <c r="F59" s="10" t="n">
        <v>889.62</v>
      </c>
      <c r="G59" s="10" t="n">
        <v>305.58</v>
      </c>
      <c r="H59" s="51" t="n">
        <v>0.3434949753827476</v>
      </c>
    </row>
    <row r="60">
      <c r="A60" s="52" t="n">
        <v>46188</v>
      </c>
      <c r="B60" s="13" t="inlineStr">
        <is>
          <t>Вода 1.5л</t>
        </is>
      </c>
      <c r="C60" s="14" t="inlineStr">
        <is>
          <t>Напитки</t>
        </is>
      </c>
      <c r="D60" s="53" t="n">
        <v>17.965</v>
      </c>
      <c r="E60" s="16" t="n">
        <v>957.53</v>
      </c>
      <c r="F60" s="16" t="n">
        <v>1247.13</v>
      </c>
      <c r="G60" s="16" t="n">
        <v>289.6</v>
      </c>
      <c r="H60" s="54" t="n">
        <v>0.2322131614186171</v>
      </c>
    </row>
    <row r="61">
      <c r="A61" s="49" t="n">
        <v>46187</v>
      </c>
      <c r="B61" s="7" t="inlineStr">
        <is>
          <t>Курица охлажд. кг</t>
        </is>
      </c>
      <c r="C61" s="8" t="inlineStr">
        <is>
          <t>Мясо</t>
        </is>
      </c>
      <c r="D61" s="50" t="n">
        <v>19.683</v>
      </c>
      <c r="E61" s="10" t="n">
        <v>1049.3</v>
      </c>
      <c r="F61" s="10" t="n">
        <v>1330.96</v>
      </c>
      <c r="G61" s="10" t="n">
        <v>281.66</v>
      </c>
      <c r="H61" s="51" t="n">
        <v>0.2116216866021518</v>
      </c>
    </row>
    <row r="62">
      <c r="A62" s="52" t="n">
        <v>46190</v>
      </c>
      <c r="B62" s="13" t="inlineStr">
        <is>
          <t>Яйца С1 10шт</t>
        </is>
      </c>
      <c r="C62" s="14" t="inlineStr">
        <is>
          <t>Яйца</t>
        </is>
      </c>
      <c r="D62" s="53" t="n">
        <v>9.901</v>
      </c>
      <c r="E62" s="16" t="n">
        <v>1483.37</v>
      </c>
      <c r="F62" s="16" t="n">
        <v>1751.39</v>
      </c>
      <c r="G62" s="16" t="n">
        <v>268.02</v>
      </c>
      <c r="H62" s="54" t="n">
        <v>0.1530327339998515</v>
      </c>
    </row>
    <row r="63">
      <c r="A63" s="49" t="n">
        <v>46181</v>
      </c>
      <c r="B63" s="7" t="inlineStr">
        <is>
          <t>Сыр Гауда 200г</t>
        </is>
      </c>
      <c r="C63" s="8" t="inlineStr">
        <is>
          <t>Молочные</t>
        </is>
      </c>
      <c r="D63" s="50" t="n">
        <v>9.375999999999999</v>
      </c>
      <c r="E63" s="10" t="n">
        <v>746.99</v>
      </c>
      <c r="F63" s="10" t="n">
        <v>1013.26</v>
      </c>
      <c r="G63" s="10" t="n">
        <v>266.27</v>
      </c>
      <c r="H63" s="51" t="n">
        <v>0.2627854647375797</v>
      </c>
    </row>
    <row r="64">
      <c r="A64" s="52" t="n">
        <v>46174</v>
      </c>
      <c r="B64" s="13" t="inlineStr">
        <is>
          <t>Сыр Гауда 200г</t>
        </is>
      </c>
      <c r="C64" s="14" t="inlineStr">
        <is>
          <t>Молочные</t>
        </is>
      </c>
      <c r="D64" s="53" t="n">
        <v>29.791</v>
      </c>
      <c r="E64" s="16" t="n">
        <v>1785.08</v>
      </c>
      <c r="F64" s="16" t="n">
        <v>2044.85</v>
      </c>
      <c r="G64" s="16" t="n">
        <v>259.77</v>
      </c>
      <c r="H64" s="54" t="n">
        <v>0.1270362129251534</v>
      </c>
    </row>
    <row r="65">
      <c r="A65" s="49" t="n">
        <v>46177</v>
      </c>
      <c r="B65" s="7" t="inlineStr">
        <is>
          <t>Шоколад 90г</t>
        </is>
      </c>
      <c r="C65" s="8" t="inlineStr">
        <is>
          <t>Кондитерка</t>
        </is>
      </c>
      <c r="D65" s="50" t="n">
        <v>2.498</v>
      </c>
      <c r="E65" s="10" t="n">
        <v>549.1900000000001</v>
      </c>
      <c r="F65" s="10" t="n">
        <v>808.9</v>
      </c>
      <c r="G65" s="10" t="n">
        <v>259.71</v>
      </c>
      <c r="H65" s="51" t="n">
        <v>0.3210656447026826</v>
      </c>
    </row>
    <row r="66">
      <c r="A66" s="52" t="n">
        <v>46199</v>
      </c>
      <c r="B66" s="13" t="inlineStr">
        <is>
          <t>Бананы кг</t>
        </is>
      </c>
      <c r="C66" s="14" t="inlineStr">
        <is>
          <t>Овощи-фрукты</t>
        </is>
      </c>
      <c r="D66" s="53" t="n">
        <v>27.548</v>
      </c>
      <c r="E66" s="16" t="n">
        <v>1919.12</v>
      </c>
      <c r="F66" s="16" t="n">
        <v>2165.44</v>
      </c>
      <c r="G66" s="16" t="n">
        <v>246.32</v>
      </c>
      <c r="H66" s="54" t="n">
        <v>0.1137505541598936</v>
      </c>
    </row>
    <row r="67">
      <c r="A67" s="49" t="n">
        <v>46184</v>
      </c>
      <c r="B67" s="7" t="inlineStr">
        <is>
          <t>Картофель кг</t>
        </is>
      </c>
      <c r="C67" s="8" t="inlineStr">
        <is>
          <t>Овощи-фрукты</t>
        </is>
      </c>
      <c r="D67" s="50" t="n">
        <v>13.129</v>
      </c>
      <c r="E67" s="10" t="n">
        <v>1608.43</v>
      </c>
      <c r="F67" s="10" t="n">
        <v>1841.74</v>
      </c>
      <c r="G67" s="10" t="n">
        <v>233.31</v>
      </c>
      <c r="H67" s="51" t="n">
        <v>0.1266791186595285</v>
      </c>
    </row>
    <row r="68">
      <c r="A68" s="52" t="n">
        <v>46188</v>
      </c>
      <c r="B68" s="13" t="inlineStr">
        <is>
          <t>Сыр Гауда 200г</t>
        </is>
      </c>
      <c r="C68" s="14" t="inlineStr">
        <is>
          <t>Молочные</t>
        </is>
      </c>
      <c r="D68" s="53" t="n">
        <v>5.767</v>
      </c>
      <c r="E68" s="16" t="n">
        <v>614.1900000000001</v>
      </c>
      <c r="F68" s="16" t="n">
        <v>816.66</v>
      </c>
      <c r="G68" s="16" t="n">
        <v>202.47</v>
      </c>
      <c r="H68" s="54" t="n">
        <v>0.2479244728528396</v>
      </c>
    </row>
    <row r="69">
      <c r="A69" s="49" t="n">
        <v>46196</v>
      </c>
      <c r="B69" s="7" t="inlineStr">
        <is>
          <t>Колбаса варёная 400г</t>
        </is>
      </c>
      <c r="C69" s="8" t="inlineStr">
        <is>
          <t>Мясо</t>
        </is>
      </c>
      <c r="D69" s="50" t="n">
        <v>8.951000000000001</v>
      </c>
      <c r="E69" s="10" t="n">
        <v>858.85</v>
      </c>
      <c r="F69" s="10" t="n">
        <v>1061.14</v>
      </c>
      <c r="G69" s="10" t="n">
        <v>202.29</v>
      </c>
      <c r="H69" s="51" t="n">
        <v>0.1906346005239648</v>
      </c>
    </row>
    <row r="70">
      <c r="A70" s="52" t="n">
        <v>46201</v>
      </c>
      <c r="B70" s="13" t="inlineStr">
        <is>
          <t>Бананы кг</t>
        </is>
      </c>
      <c r="C70" s="14" t="inlineStr">
        <is>
          <t>Овощи-фрукты</t>
        </is>
      </c>
      <c r="D70" s="53" t="n">
        <v>6.919</v>
      </c>
      <c r="E70" s="16" t="n">
        <v>1228.68</v>
      </c>
      <c r="F70" s="16" t="n">
        <v>1429.19</v>
      </c>
      <c r="G70" s="16" t="n">
        <v>200.51</v>
      </c>
      <c r="H70" s="54" t="n">
        <v>0.1402962517230039</v>
      </c>
    </row>
    <row r="71">
      <c r="A71" s="49" t="n">
        <v>46189</v>
      </c>
      <c r="B71" s="7" t="inlineStr">
        <is>
          <t>Сигареты премиум</t>
        </is>
      </c>
      <c r="C71" s="8" t="inlineStr">
        <is>
          <t>Табак</t>
        </is>
      </c>
      <c r="D71" s="50" t="n">
        <v>25.257</v>
      </c>
      <c r="E71" s="10" t="n">
        <v>1672.27</v>
      </c>
      <c r="F71" s="10" t="n">
        <v>1867</v>
      </c>
      <c r="G71" s="10" t="n">
        <v>194.73</v>
      </c>
      <c r="H71" s="51" t="n">
        <v>0.1043010176754151</v>
      </c>
    </row>
    <row r="72">
      <c r="A72" s="52" t="n">
        <v>46194</v>
      </c>
      <c r="B72" s="13" t="inlineStr">
        <is>
          <t>Йогурт 150г</t>
        </is>
      </c>
      <c r="C72" s="14" t="inlineStr">
        <is>
          <t>Молочные</t>
        </is>
      </c>
      <c r="D72" s="53" t="n">
        <v>7.26</v>
      </c>
      <c r="E72" s="16" t="n">
        <v>1180.26</v>
      </c>
      <c r="F72" s="16" t="n">
        <v>1365.32</v>
      </c>
      <c r="G72" s="16" t="n">
        <v>185.06</v>
      </c>
      <c r="H72" s="54" t="n">
        <v>0.1355433158526939</v>
      </c>
    </row>
    <row r="73">
      <c r="A73" s="49" t="n">
        <v>46184</v>
      </c>
      <c r="B73" s="7" t="inlineStr">
        <is>
          <t>Йогурт 150г</t>
        </is>
      </c>
      <c r="C73" s="8" t="inlineStr">
        <is>
          <t>Молочные</t>
        </is>
      </c>
      <c r="D73" s="50" t="n">
        <v>19.8</v>
      </c>
      <c r="E73" s="10" t="n">
        <v>628.0599999999999</v>
      </c>
      <c r="F73" s="10" t="n">
        <v>785.47</v>
      </c>
      <c r="G73" s="10" t="n">
        <v>157.41</v>
      </c>
      <c r="H73" s="51" t="n">
        <v>0.2004023068990541</v>
      </c>
    </row>
    <row r="74">
      <c r="A74" s="52" t="n">
        <v>46175</v>
      </c>
      <c r="B74" s="13" t="inlineStr">
        <is>
          <t>Сахар 1кг</t>
        </is>
      </c>
      <c r="C74" s="14" t="inlineStr">
        <is>
          <t>Бакалея</t>
        </is>
      </c>
      <c r="D74" s="53" t="n">
        <v>2.481</v>
      </c>
      <c r="E74" s="16" t="n">
        <v>270.63</v>
      </c>
      <c r="F74" s="16" t="n">
        <v>409.22</v>
      </c>
      <c r="G74" s="16" t="n">
        <v>138.59</v>
      </c>
      <c r="H74" s="54" t="n">
        <v>0.3386686867699526</v>
      </c>
    </row>
    <row r="75">
      <c r="A75" s="49" t="n">
        <v>46180</v>
      </c>
      <c r="B75" s="7" t="inlineStr">
        <is>
          <t>Печенье 300г</t>
        </is>
      </c>
      <c r="C75" s="8" t="inlineStr">
        <is>
          <t>Кондитерка</t>
        </is>
      </c>
      <c r="D75" s="50" t="n">
        <v>10.562</v>
      </c>
      <c r="E75" s="10" t="n">
        <v>1671.54</v>
      </c>
      <c r="F75" s="10" t="n">
        <v>1806.63</v>
      </c>
      <c r="G75" s="10" t="n">
        <v>135.09</v>
      </c>
      <c r="H75" s="51" t="n">
        <v>0.07477458029591007</v>
      </c>
    </row>
    <row r="76">
      <c r="A76" s="52" t="n">
        <v>46193</v>
      </c>
      <c r="B76" s="13" t="inlineStr">
        <is>
          <t>Молоко 2.5% 1л</t>
        </is>
      </c>
      <c r="C76" s="14" t="inlineStr">
        <is>
          <t>Молочные</t>
        </is>
      </c>
      <c r="D76" s="53" t="n">
        <v>6.519</v>
      </c>
      <c r="E76" s="16" t="n">
        <v>226.6</v>
      </c>
      <c r="F76" s="16" t="n">
        <v>316.04</v>
      </c>
      <c r="G76" s="16" t="n">
        <v>89.44</v>
      </c>
      <c r="H76" s="54" t="n">
        <v>0.2830021516263764</v>
      </c>
    </row>
    <row r="77">
      <c r="A77" s="49" t="n">
        <v>46188</v>
      </c>
      <c r="B77" s="7" t="inlineStr">
        <is>
          <t>Шоколад 90г</t>
        </is>
      </c>
      <c r="C77" s="8" t="inlineStr">
        <is>
          <t>Кондитерка</t>
        </is>
      </c>
      <c r="D77" s="50" t="n">
        <v>6.037</v>
      </c>
      <c r="E77" s="10" t="n">
        <v>283.14</v>
      </c>
      <c r="F77" s="10" t="n">
        <v>367.35</v>
      </c>
      <c r="G77" s="10" t="n">
        <v>84.20999999999999</v>
      </c>
      <c r="H77" s="51" t="n">
        <v>0.2292364230298081</v>
      </c>
    </row>
    <row r="78">
      <c r="A78" s="52" t="n">
        <v>46203</v>
      </c>
      <c r="B78" s="13" t="inlineStr">
        <is>
          <t>Вода 1.5л</t>
        </is>
      </c>
      <c r="C78" s="14" t="inlineStr">
        <is>
          <t>Напитки</t>
        </is>
      </c>
      <c r="D78" s="53" t="n">
        <v>5.541</v>
      </c>
      <c r="E78" s="16" t="n">
        <v>775.3</v>
      </c>
      <c r="F78" s="16" t="n">
        <v>847.16</v>
      </c>
      <c r="G78" s="16" t="n">
        <v>71.86</v>
      </c>
      <c r="H78" s="54" t="n">
        <v>0.08482459039614713</v>
      </c>
    </row>
    <row r="79">
      <c r="A79" s="49" t="n">
        <v>46176</v>
      </c>
      <c r="B79" s="7" t="inlineStr">
        <is>
          <t>Молоко 2.5% 1л</t>
        </is>
      </c>
      <c r="C79" s="8" t="inlineStr">
        <is>
          <t>Молочные</t>
        </is>
      </c>
      <c r="D79" s="50" t="n">
        <v>28.46</v>
      </c>
      <c r="E79" s="10" t="n">
        <v>582.86</v>
      </c>
      <c r="F79" s="10" t="n">
        <v>648.03</v>
      </c>
      <c r="G79" s="10" t="n">
        <v>65.17</v>
      </c>
      <c r="H79" s="51" t="n">
        <v>0.1005663318056263</v>
      </c>
    </row>
    <row r="80">
      <c r="A80" s="52" t="n">
        <v>46190</v>
      </c>
      <c r="B80" s="13" t="inlineStr">
        <is>
          <t>Хлеб белый 500г</t>
        </is>
      </c>
      <c r="C80" s="14" t="inlineStr">
        <is>
          <t>Хлеб</t>
        </is>
      </c>
      <c r="D80" s="53" t="n">
        <v>3.664</v>
      </c>
      <c r="E80" s="16" t="n">
        <v>173.64</v>
      </c>
      <c r="F80" s="16" t="n">
        <v>236.07</v>
      </c>
      <c r="G80" s="16" t="n">
        <v>62.43</v>
      </c>
      <c r="H80" s="54" t="n">
        <v>0.2644554581268268</v>
      </c>
    </row>
    <row r="81">
      <c r="A81" s="49" t="n">
        <v>46198</v>
      </c>
      <c r="B81" s="7" t="inlineStr">
        <is>
          <t>Яйца С1 10шт</t>
        </is>
      </c>
      <c r="C81" s="8" t="inlineStr">
        <is>
          <t>Яйца</t>
        </is>
      </c>
      <c r="D81" s="50" t="n">
        <v>38.313</v>
      </c>
      <c r="E81" s="10" t="n">
        <v>633.3099999999999</v>
      </c>
      <c r="F81" s="10" t="n">
        <v>693.08</v>
      </c>
      <c r="G81" s="10" t="n">
        <v>59.77</v>
      </c>
      <c r="H81" s="51" t="n">
        <v>0.08623824089571189</v>
      </c>
    </row>
    <row r="82">
      <c r="A82" s="52" t="n">
        <v>46177</v>
      </c>
      <c r="B82" s="13" t="inlineStr">
        <is>
          <t>Сахар 1кг</t>
        </is>
      </c>
      <c r="C82" s="14" t="inlineStr">
        <is>
          <t>Бакалея</t>
        </is>
      </c>
      <c r="D82" s="53" t="n">
        <v>4.163</v>
      </c>
      <c r="E82" s="16" t="n">
        <v>118.65</v>
      </c>
      <c r="F82" s="16" t="n">
        <v>175.39</v>
      </c>
      <c r="G82" s="16" t="n">
        <v>56.74</v>
      </c>
      <c r="H82" s="54" t="n">
        <v>0.3235076116084156</v>
      </c>
    </row>
    <row r="83">
      <c r="A83" s="49" t="n">
        <v>46191</v>
      </c>
      <c r="B83" s="7" t="inlineStr">
        <is>
          <t>Колбаса варёная 400г</t>
        </is>
      </c>
      <c r="C83" s="8" t="inlineStr">
        <is>
          <t>Мясо</t>
        </is>
      </c>
      <c r="D83" s="50" t="n">
        <v>1.923</v>
      </c>
      <c r="E83" s="10" t="n">
        <v>165.9</v>
      </c>
      <c r="F83" s="10" t="n">
        <v>222.24</v>
      </c>
      <c r="G83" s="10" t="n">
        <v>56.34</v>
      </c>
      <c r="H83" s="51" t="n">
        <v>0.2535097192224622</v>
      </c>
    </row>
    <row r="84">
      <c r="A84" s="52" t="n">
        <v>46182</v>
      </c>
      <c r="B84" s="13" t="inlineStr">
        <is>
          <t>Сигареты премиум</t>
        </is>
      </c>
      <c r="C84" s="14" t="inlineStr">
        <is>
          <t>Табак</t>
        </is>
      </c>
      <c r="D84" s="53" t="n">
        <v>5.732</v>
      </c>
      <c r="E84" s="16" t="n">
        <v>469.97</v>
      </c>
      <c r="F84" s="16" t="n">
        <v>522.76</v>
      </c>
      <c r="G84" s="16" t="n">
        <v>52.79</v>
      </c>
      <c r="H84" s="54" t="n">
        <v>0.1009832427882776</v>
      </c>
    </row>
    <row r="85">
      <c r="A85" s="49" t="n">
        <v>46200</v>
      </c>
      <c r="B85" s="7" t="inlineStr">
        <is>
          <t>Чай чёрный 100пак</t>
        </is>
      </c>
      <c r="C85" s="8" t="inlineStr">
        <is>
          <t>Напитки</t>
        </is>
      </c>
      <c r="D85" s="50" t="n">
        <v>11.429</v>
      </c>
      <c r="E85" s="10" t="n">
        <v>100</v>
      </c>
      <c r="F85" s="10" t="n">
        <v>144.23</v>
      </c>
      <c r="G85" s="10" t="n">
        <v>44.23</v>
      </c>
      <c r="H85" s="51" t="n">
        <v>0.3066629688691673</v>
      </c>
    </row>
    <row r="86">
      <c r="A86" s="52" t="n">
        <v>46200</v>
      </c>
      <c r="B86" s="13" t="inlineStr">
        <is>
          <t>Картофель кг</t>
        </is>
      </c>
      <c r="C86" s="14" t="inlineStr">
        <is>
          <t>Овощи-фрукты</t>
        </is>
      </c>
      <c r="D86" s="53" t="n">
        <v>3.735</v>
      </c>
      <c r="E86" s="16" t="n">
        <v>45.23</v>
      </c>
      <c r="F86" s="16" t="n">
        <v>60.32</v>
      </c>
      <c r="G86" s="16" t="n">
        <v>15.09</v>
      </c>
      <c r="H86" s="54" t="n">
        <v>0.2501657824933687</v>
      </c>
    </row>
    <row r="87">
      <c r="A87" s="49" t="n">
        <v>46187</v>
      </c>
      <c r="B87" s="7" t="inlineStr">
        <is>
          <t>Печенье 300г</t>
        </is>
      </c>
      <c r="C87" s="8" t="inlineStr">
        <is>
          <t>Кондитерка</t>
        </is>
      </c>
      <c r="D87" s="50" t="n">
        <v>1.755</v>
      </c>
      <c r="E87" s="10" t="n">
        <v>48.89</v>
      </c>
      <c r="F87" s="10" t="n">
        <v>58.16</v>
      </c>
      <c r="G87" s="10" t="n">
        <v>9.27</v>
      </c>
      <c r="H87" s="51" t="n">
        <v>0.1593878954607978</v>
      </c>
    </row>
    <row r="88">
      <c r="A88" s="18" t="inlineStr"/>
      <c r="B88" s="18" t="inlineStr">
        <is>
          <t>ИТОГО</t>
        </is>
      </c>
      <c r="C88" s="19" t="inlineStr"/>
      <c r="D88" s="55" t="n">
        <v>1810.882</v>
      </c>
      <c r="E88" s="21" t="n">
        <v>220379.79</v>
      </c>
      <c r="F88" s="21" t="n">
        <v>289175.66</v>
      </c>
      <c r="G88" s="21" t="n">
        <v>68795.87</v>
      </c>
      <c r="H88" s="56" t="n">
        <v>0.2379033906242316</v>
      </c>
    </row>
  </sheetData>
  <autoFilter ref="A4:H87"/>
  <mergeCells count="1">
    <mergeCell ref="A2:H2"/>
  </mergeCells>
  <conditionalFormatting sqref="H5:H8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2" customWidth="1" min="4" max="4"/>
    <col width="15" customWidth="1" min="5" max="5"/>
    <col width="17" customWidth="1" min="6" max="6"/>
    <col width="17" customWidth="1" min="7" max="7"/>
    <col width="21" customWidth="1" min="8" max="8"/>
  </cols>
  <sheetData>
    <row r="1">
      <c r="A1" s="1" t="inlineStr">
        <is>
          <t>Валовая прибыль по кассам / группам номенклатуры</t>
        </is>
      </c>
    </row>
    <row r="2">
      <c r="A2" s="2" t="inlineStr">
        <is>
          <t>Структура как «Анализ продаж», плюс себестоимость и маржа. Иерархия: Касса → Группа → Номенклатура.</t>
        </is>
      </c>
    </row>
    <row r="4">
      <c r="A4" s="5" t="inlineStr">
        <is>
          <t>Касса</t>
        </is>
      </c>
      <c r="B4" s="5" t="inlineStr">
        <is>
          <t>Группа</t>
        </is>
      </c>
      <c r="C4" s="5" t="inlineStr">
        <is>
          <t>Номенклатура</t>
        </is>
      </c>
      <c r="D4" s="5" t="inlineStr">
        <is>
          <t>Количество</t>
        </is>
      </c>
      <c r="E4" s="5" t="inlineStr">
        <is>
          <t>Себестоимость</t>
        </is>
      </c>
      <c r="F4" s="5" t="inlineStr">
        <is>
          <t>Продажная сумма</t>
        </is>
      </c>
      <c r="G4" s="5" t="inlineStr">
        <is>
          <t>Валовая прибыль</t>
        </is>
      </c>
      <c r="H4" s="5" t="inlineStr">
        <is>
          <t>Рентабельность %</t>
        </is>
      </c>
    </row>
    <row r="5">
      <c r="A5" s="7" t="inlineStr">
        <is>
          <t>Касса №1 (зал)</t>
        </is>
      </c>
      <c r="B5" s="7" t="inlineStr">
        <is>
          <t>Бакалея</t>
        </is>
      </c>
      <c r="C5" s="8" t="inlineStr">
        <is>
          <t>Рис 1кг</t>
        </is>
      </c>
      <c r="D5" s="50" t="n">
        <v>71.458</v>
      </c>
      <c r="E5" s="10" t="n">
        <v>4662.05</v>
      </c>
      <c r="F5" s="10" t="n">
        <v>6848.32</v>
      </c>
      <c r="G5" s="10" t="n">
        <v>2186.27</v>
      </c>
      <c r="H5" s="51" t="n">
        <v>0.3192417994486239</v>
      </c>
    </row>
    <row r="6">
      <c r="A6" s="13" t="inlineStr">
        <is>
          <t>Касса №1 (зал)</t>
        </is>
      </c>
      <c r="B6" s="13" t="inlineStr">
        <is>
          <t>Кондитерка</t>
        </is>
      </c>
      <c r="C6" s="14" t="inlineStr">
        <is>
          <t>Шоколад 90г</t>
        </is>
      </c>
      <c r="D6" s="53" t="n">
        <v>41.545</v>
      </c>
      <c r="E6" s="16" t="n">
        <v>6782.42</v>
      </c>
      <c r="F6" s="16" t="n">
        <v>9837.360000000001</v>
      </c>
      <c r="G6" s="16" t="n">
        <v>3054.94</v>
      </c>
      <c r="H6" s="54" t="n">
        <v>0.3105446989842803</v>
      </c>
    </row>
    <row r="7">
      <c r="A7" s="7" t="inlineStr">
        <is>
          <t>Касса №1 (зал)</t>
        </is>
      </c>
      <c r="B7" s="7" t="inlineStr">
        <is>
          <t>Молочные</t>
        </is>
      </c>
      <c r="C7" s="8" t="inlineStr">
        <is>
          <t>Йогурт 150г</t>
        </is>
      </c>
      <c r="D7" s="50" t="n">
        <v>55.937</v>
      </c>
      <c r="E7" s="10" t="n">
        <v>9080.440000000001</v>
      </c>
      <c r="F7" s="10" t="n">
        <v>13149.65</v>
      </c>
      <c r="G7" s="10" t="n">
        <v>4069.21</v>
      </c>
      <c r="H7" s="51" t="n">
        <v>0.3094538637910515</v>
      </c>
    </row>
    <row r="8">
      <c r="A8" s="13" t="inlineStr">
        <is>
          <t>Касса №1 (зал)</t>
        </is>
      </c>
      <c r="B8" s="13" t="inlineStr">
        <is>
          <t>Молочные</t>
        </is>
      </c>
      <c r="C8" s="14" t="inlineStr">
        <is>
          <t>Молоко 2.5% 1л</t>
        </is>
      </c>
      <c r="D8" s="53" t="n">
        <v>60.79</v>
      </c>
      <c r="E8" s="16" t="n">
        <v>5626.66</v>
      </c>
      <c r="F8" s="16" t="n">
        <v>6901.95</v>
      </c>
      <c r="G8" s="16" t="n">
        <v>1275.29</v>
      </c>
      <c r="H8" s="54" t="n">
        <v>0.1847724193887235</v>
      </c>
    </row>
    <row r="9">
      <c r="A9" s="7" t="inlineStr">
        <is>
          <t>Касса №1 (зал)</t>
        </is>
      </c>
      <c r="B9" s="7" t="inlineStr">
        <is>
          <t>Молочные</t>
        </is>
      </c>
      <c r="C9" s="8" t="inlineStr">
        <is>
          <t>Сыр Гауда 200г</t>
        </is>
      </c>
      <c r="D9" s="50" t="n">
        <v>39.167</v>
      </c>
      <c r="E9" s="10" t="n">
        <v>2532.07</v>
      </c>
      <c r="F9" s="10" t="n">
        <v>3058.11</v>
      </c>
      <c r="G9" s="10" t="n">
        <v>526.04</v>
      </c>
      <c r="H9" s="51" t="n">
        <v>0.17201474113096</v>
      </c>
    </row>
    <row r="10">
      <c r="A10" s="13" t="inlineStr">
        <is>
          <t>Касса №1 (зал)</t>
        </is>
      </c>
      <c r="B10" s="13" t="inlineStr">
        <is>
          <t>Мясо</t>
        </is>
      </c>
      <c r="C10" s="14" t="inlineStr">
        <is>
          <t>Курица охлажд. кг</t>
        </is>
      </c>
      <c r="D10" s="53" t="n">
        <v>37.636</v>
      </c>
      <c r="E10" s="16" t="n">
        <v>3878.69</v>
      </c>
      <c r="F10" s="16" t="n">
        <v>5132.69</v>
      </c>
      <c r="G10" s="16" t="n">
        <v>1254</v>
      </c>
      <c r="H10" s="54" t="n">
        <v>0.2443163331508429</v>
      </c>
    </row>
    <row r="11">
      <c r="A11" s="7" t="inlineStr">
        <is>
          <t>Касса №1 (зал)</t>
        </is>
      </c>
      <c r="B11" s="7" t="inlineStr">
        <is>
          <t>Напитки</t>
        </is>
      </c>
      <c r="C11" s="8" t="inlineStr">
        <is>
          <t>Кофе молотый 250г</t>
        </is>
      </c>
      <c r="D11" s="50" t="n">
        <v>44.022</v>
      </c>
      <c r="E11" s="10" t="n">
        <v>5827</v>
      </c>
      <c r="F11" s="10" t="n">
        <v>8022.2</v>
      </c>
      <c r="G11" s="10" t="n">
        <v>2195.2</v>
      </c>
      <c r="H11" s="51" t="n">
        <v>0.2736406472040089</v>
      </c>
    </row>
    <row r="12">
      <c r="A12" s="13" t="inlineStr">
        <is>
          <t>Касса №1 (зал)</t>
        </is>
      </c>
      <c r="B12" s="13" t="inlineStr">
        <is>
          <t>Напитки</t>
        </is>
      </c>
      <c r="C12" s="14" t="inlineStr">
        <is>
          <t>Чай чёрный 100пак</t>
        </is>
      </c>
      <c r="D12" s="53" t="n">
        <v>23.555</v>
      </c>
      <c r="E12" s="16" t="n">
        <v>2799.04</v>
      </c>
      <c r="F12" s="16" t="n">
        <v>4252.62</v>
      </c>
      <c r="G12" s="16" t="n">
        <v>1453.58</v>
      </c>
      <c r="H12" s="54" t="n">
        <v>0.3418081088834648</v>
      </c>
    </row>
    <row r="13">
      <c r="A13" s="7" t="inlineStr">
        <is>
          <t>Касса №1 (зал)</t>
        </is>
      </c>
      <c r="B13" s="7" t="inlineStr">
        <is>
          <t>Овощи-фрукты</t>
        </is>
      </c>
      <c r="C13" s="8" t="inlineStr">
        <is>
          <t>Яблоки кг</t>
        </is>
      </c>
      <c r="D13" s="50" t="n">
        <v>109.316</v>
      </c>
      <c r="E13" s="10" t="n">
        <v>10974.48</v>
      </c>
      <c r="F13" s="10" t="n">
        <v>15418.97</v>
      </c>
      <c r="G13" s="10" t="n">
        <v>4444.49</v>
      </c>
      <c r="H13" s="51" t="n">
        <v>0.2882481774074403</v>
      </c>
    </row>
    <row r="14">
      <c r="A14" s="13" t="inlineStr">
        <is>
          <t>Касса №1 (зал)</t>
        </is>
      </c>
      <c r="B14" s="13" t="inlineStr">
        <is>
          <t>Овощи-фрукты</t>
        </is>
      </c>
      <c r="C14" s="14" t="inlineStr">
        <is>
          <t>Картофель кг</t>
        </is>
      </c>
      <c r="D14" s="53" t="n">
        <v>13.129</v>
      </c>
      <c r="E14" s="16" t="n">
        <v>1608.43</v>
      </c>
      <c r="F14" s="16" t="n">
        <v>1841.74</v>
      </c>
      <c r="G14" s="16" t="n">
        <v>233.31</v>
      </c>
      <c r="H14" s="54" t="n">
        <v>0.1266791186595285</v>
      </c>
    </row>
    <row r="15">
      <c r="A15" s="7" t="inlineStr">
        <is>
          <t>Касса №1 (зал)</t>
        </is>
      </c>
      <c r="B15" s="7" t="inlineStr">
        <is>
          <t>Табак</t>
        </is>
      </c>
      <c r="C15" s="8" t="inlineStr">
        <is>
          <t>Сигареты премиум</t>
        </is>
      </c>
      <c r="D15" s="50" t="n">
        <v>33.073</v>
      </c>
      <c r="E15" s="10" t="n">
        <v>5578.91</v>
      </c>
      <c r="F15" s="10" t="n">
        <v>6835.52</v>
      </c>
      <c r="G15" s="10" t="n">
        <v>1256.61</v>
      </c>
      <c r="H15" s="51" t="n">
        <v>0.1838353190393708</v>
      </c>
    </row>
    <row r="16">
      <c r="A16" s="13" t="inlineStr">
        <is>
          <t>Касса №1 (зал)</t>
        </is>
      </c>
      <c r="B16" s="13" t="inlineStr">
        <is>
          <t>Хлеб</t>
        </is>
      </c>
      <c r="C16" s="14" t="inlineStr">
        <is>
          <t>Хлеб белый 500г</t>
        </is>
      </c>
      <c r="D16" s="53" t="n">
        <v>62.815</v>
      </c>
      <c r="E16" s="16" t="n">
        <v>8911.059999999999</v>
      </c>
      <c r="F16" s="16" t="n">
        <v>11571.28</v>
      </c>
      <c r="G16" s="16" t="n">
        <v>2660.22</v>
      </c>
      <c r="H16" s="54" t="n">
        <v>0.2298985073388597</v>
      </c>
    </row>
    <row r="17">
      <c r="A17" s="7" t="inlineStr">
        <is>
          <t>Касса №1 (зал)</t>
        </is>
      </c>
      <c r="B17" s="7" t="inlineStr">
        <is>
          <t>Яйца</t>
        </is>
      </c>
      <c r="C17" s="8" t="inlineStr">
        <is>
          <t>Яйца С1 10шт</t>
        </is>
      </c>
      <c r="D17" s="50" t="n">
        <v>69.074</v>
      </c>
      <c r="E17" s="10" t="n">
        <v>5082.55</v>
      </c>
      <c r="F17" s="10" t="n">
        <v>6114.79</v>
      </c>
      <c r="G17" s="10" t="n">
        <v>1032.24</v>
      </c>
      <c r="H17" s="51" t="n">
        <v>0.1688103761535556</v>
      </c>
    </row>
    <row r="18">
      <c r="A18" s="23" t="inlineStr">
        <is>
          <t>Итого: Касса №1 (зал)</t>
        </is>
      </c>
      <c r="B18" s="23" t="inlineStr"/>
      <c r="C18" s="23" t="inlineStr"/>
      <c r="D18" s="57" t="n">
        <v>661.5170000000001</v>
      </c>
      <c r="E18" s="25" t="n">
        <v>73343.8</v>
      </c>
      <c r="F18" s="25" t="n">
        <v>98985.2</v>
      </c>
      <c r="G18" s="25" t="n">
        <v>25641.4</v>
      </c>
      <c r="H18" s="58" t="n">
        <v>0.2590427659892591</v>
      </c>
    </row>
    <row r="19">
      <c r="A19" s="7" t="inlineStr">
        <is>
          <t>Касса №2 (зал)</t>
        </is>
      </c>
      <c r="B19" s="7" t="inlineStr">
        <is>
          <t>Бакалея</t>
        </is>
      </c>
      <c r="C19" s="8" t="inlineStr">
        <is>
          <t>Масло подсолн. 1л</t>
        </is>
      </c>
      <c r="D19" s="50" t="n">
        <v>47.002</v>
      </c>
      <c r="E19" s="10" t="n">
        <v>7774.86</v>
      </c>
      <c r="F19" s="10" t="n">
        <v>9798.360000000001</v>
      </c>
      <c r="G19" s="10" t="n">
        <v>2023.5</v>
      </c>
      <c r="H19" s="51" t="n">
        <v>0.2065141513477766</v>
      </c>
    </row>
    <row r="20">
      <c r="A20" s="13" t="inlineStr">
        <is>
          <t>Касса №2 (зал)</t>
        </is>
      </c>
      <c r="B20" s="13" t="inlineStr">
        <is>
          <t>Бакалея</t>
        </is>
      </c>
      <c r="C20" s="14" t="inlineStr">
        <is>
          <t>Сахар 1кг</t>
        </is>
      </c>
      <c r="D20" s="53" t="n">
        <v>18.461</v>
      </c>
      <c r="E20" s="16" t="n">
        <v>1468.57</v>
      </c>
      <c r="F20" s="16" t="n">
        <v>2193.17</v>
      </c>
      <c r="G20" s="16" t="n">
        <v>724.6</v>
      </c>
      <c r="H20" s="54" t="n">
        <v>0.3303893451032068</v>
      </c>
    </row>
    <row r="21">
      <c r="A21" s="7" t="inlineStr">
        <is>
          <t>Касса №2 (зал)</t>
        </is>
      </c>
      <c r="B21" s="7" t="inlineStr">
        <is>
          <t>Бакалея</t>
        </is>
      </c>
      <c r="C21" s="8" t="inlineStr">
        <is>
          <t>Рис 1кг</t>
        </is>
      </c>
      <c r="D21" s="50" t="n">
        <v>3.264</v>
      </c>
      <c r="E21" s="10" t="n">
        <v>485.75</v>
      </c>
      <c r="F21" s="10" t="n">
        <v>599.99</v>
      </c>
      <c r="G21" s="10" t="n">
        <v>114.24</v>
      </c>
      <c r="H21" s="51" t="n">
        <v>0.1904031733862231</v>
      </c>
    </row>
    <row r="22">
      <c r="A22" s="13" t="inlineStr">
        <is>
          <t>Касса №2 (зал)</t>
        </is>
      </c>
      <c r="B22" s="13" t="inlineStr">
        <is>
          <t>Кондитерка</t>
        </is>
      </c>
      <c r="C22" s="14" t="inlineStr">
        <is>
          <t>Шоколад 90г</t>
        </is>
      </c>
      <c r="D22" s="53" t="n">
        <v>106.645</v>
      </c>
      <c r="E22" s="16" t="n">
        <v>12457.3</v>
      </c>
      <c r="F22" s="16" t="n">
        <v>17099.5</v>
      </c>
      <c r="G22" s="16" t="n">
        <v>4642.2</v>
      </c>
      <c r="H22" s="54" t="n">
        <v>0.271481622269657</v>
      </c>
    </row>
    <row r="23">
      <c r="A23" s="7" t="inlineStr">
        <is>
          <t>Касса №2 (зал)</t>
        </is>
      </c>
      <c r="B23" s="7" t="inlineStr">
        <is>
          <t>Кондитерка</t>
        </is>
      </c>
      <c r="C23" s="8" t="inlineStr">
        <is>
          <t>Печенье 300г</t>
        </is>
      </c>
      <c r="D23" s="50" t="n">
        <v>19.341</v>
      </c>
      <c r="E23" s="10" t="n">
        <v>4020.22</v>
      </c>
      <c r="F23" s="10" t="n">
        <v>4906.04</v>
      </c>
      <c r="G23" s="10" t="n">
        <v>885.8200000000001</v>
      </c>
      <c r="H23" s="51" t="n">
        <v>0.1805570276638593</v>
      </c>
    </row>
    <row r="24">
      <c r="A24" s="13" t="inlineStr">
        <is>
          <t>Касса №2 (зал)</t>
        </is>
      </c>
      <c r="B24" s="13" t="inlineStr">
        <is>
          <t>Молочные</t>
        </is>
      </c>
      <c r="C24" s="14" t="inlineStr">
        <is>
          <t>Йогурт 150г</t>
        </is>
      </c>
      <c r="D24" s="53" t="n">
        <v>27.06</v>
      </c>
      <c r="E24" s="16" t="n">
        <v>1808.32</v>
      </c>
      <c r="F24" s="16" t="n">
        <v>2150.79</v>
      </c>
      <c r="G24" s="16" t="n">
        <v>342.47</v>
      </c>
      <c r="H24" s="54" t="n">
        <v>0.1592298643754156</v>
      </c>
    </row>
    <row r="25">
      <c r="A25" s="7" t="inlineStr">
        <is>
          <t>Касса №2 (зал)</t>
        </is>
      </c>
      <c r="B25" s="7" t="inlineStr">
        <is>
          <t>Молочные</t>
        </is>
      </c>
      <c r="C25" s="8" t="inlineStr">
        <is>
          <t>Молоко 2.5% 1л</t>
        </is>
      </c>
      <c r="D25" s="50" t="n">
        <v>8.129</v>
      </c>
      <c r="E25" s="10" t="n">
        <v>630.73</v>
      </c>
      <c r="F25" s="10" t="n">
        <v>937.4400000000001</v>
      </c>
      <c r="G25" s="10" t="n">
        <v>306.71</v>
      </c>
      <c r="H25" s="51" t="n">
        <v>0.3271782727427888</v>
      </c>
    </row>
    <row r="26">
      <c r="A26" s="13" t="inlineStr">
        <is>
          <t>Касса №2 (зал)</t>
        </is>
      </c>
      <c r="B26" s="13" t="inlineStr">
        <is>
          <t>Мясо</t>
        </is>
      </c>
      <c r="C26" s="14" t="inlineStr">
        <is>
          <t>Колбаса варёная 400г</t>
        </is>
      </c>
      <c r="D26" s="53" t="n">
        <v>47.62</v>
      </c>
      <c r="E26" s="16" t="n">
        <v>5721.89</v>
      </c>
      <c r="F26" s="16" t="n">
        <v>7932.06</v>
      </c>
      <c r="G26" s="16" t="n">
        <v>2210.17</v>
      </c>
      <c r="H26" s="54" t="n">
        <v>0.2786375796451363</v>
      </c>
    </row>
    <row r="27">
      <c r="A27" s="7" t="inlineStr">
        <is>
          <t>Касса №2 (зал)</t>
        </is>
      </c>
      <c r="B27" s="7" t="inlineStr">
        <is>
          <t>Напитки</t>
        </is>
      </c>
      <c r="C27" s="8" t="inlineStr">
        <is>
          <t>Вода 1.5л</t>
        </is>
      </c>
      <c r="D27" s="50" t="n">
        <v>41.043</v>
      </c>
      <c r="E27" s="10" t="n">
        <v>5391.98</v>
      </c>
      <c r="F27" s="10" t="n">
        <v>7391.95</v>
      </c>
      <c r="G27" s="10" t="n">
        <v>1999.97</v>
      </c>
      <c r="H27" s="51" t="n">
        <v>0.2705605422114598</v>
      </c>
    </row>
    <row r="28">
      <c r="A28" s="13" t="inlineStr">
        <is>
          <t>Касса №2 (зал)</t>
        </is>
      </c>
      <c r="B28" s="13" t="inlineStr">
        <is>
          <t>Напитки</t>
        </is>
      </c>
      <c r="C28" s="14" t="inlineStr">
        <is>
          <t>Кофе молотый 250г</t>
        </is>
      </c>
      <c r="D28" s="53" t="n">
        <v>39.42</v>
      </c>
      <c r="E28" s="16" t="n">
        <v>2531.55</v>
      </c>
      <c r="F28" s="16" t="n">
        <v>3666.85</v>
      </c>
      <c r="G28" s="16" t="n">
        <v>1135.3</v>
      </c>
      <c r="H28" s="54" t="n">
        <v>0.3096117921376658</v>
      </c>
    </row>
    <row r="29">
      <c r="A29" s="7" t="inlineStr">
        <is>
          <t>Касса №2 (зал)</t>
        </is>
      </c>
      <c r="B29" s="7" t="inlineStr">
        <is>
          <t>Овощи-фрукты</t>
        </is>
      </c>
      <c r="C29" s="8" t="inlineStr">
        <is>
          <t>Картофель кг</t>
        </is>
      </c>
      <c r="D29" s="50" t="n">
        <v>55.019</v>
      </c>
      <c r="E29" s="10" t="n">
        <v>2802.46</v>
      </c>
      <c r="F29" s="10" t="n">
        <v>3998.4</v>
      </c>
      <c r="G29" s="10" t="n">
        <v>1195.94</v>
      </c>
      <c r="H29" s="51" t="n">
        <v>0.2991046418567426</v>
      </c>
    </row>
    <row r="30">
      <c r="A30" s="13" t="inlineStr">
        <is>
          <t>Касса №2 (зал)</t>
        </is>
      </c>
      <c r="B30" s="13" t="inlineStr">
        <is>
          <t>Овощи-фрукты</t>
        </is>
      </c>
      <c r="C30" s="14" t="inlineStr">
        <is>
          <t>Бананы кг</t>
        </is>
      </c>
      <c r="D30" s="53" t="n">
        <v>31.419</v>
      </c>
      <c r="E30" s="16" t="n">
        <v>3765.49</v>
      </c>
      <c r="F30" s="16" t="n">
        <v>4523.8</v>
      </c>
      <c r="G30" s="16" t="n">
        <v>758.3099999999999</v>
      </c>
      <c r="H30" s="54" t="n">
        <v>0.167626773951103</v>
      </c>
    </row>
    <row r="31">
      <c r="A31" s="7" t="inlineStr">
        <is>
          <t>Касса №2 (зал)</t>
        </is>
      </c>
      <c r="B31" s="7" t="inlineStr">
        <is>
          <t>Овощи-фрукты</t>
        </is>
      </c>
      <c r="C31" s="8" t="inlineStr">
        <is>
          <t>Яблоки кг</t>
        </is>
      </c>
      <c r="D31" s="50" t="n">
        <v>10.356</v>
      </c>
      <c r="E31" s="10" t="n">
        <v>308.51</v>
      </c>
      <c r="F31" s="10" t="n">
        <v>446.34</v>
      </c>
      <c r="G31" s="10" t="n">
        <v>137.83</v>
      </c>
      <c r="H31" s="51" t="n">
        <v>0.3088004660124569</v>
      </c>
    </row>
    <row r="32">
      <c r="A32" s="13" t="inlineStr">
        <is>
          <t>Касса №2 (зал)</t>
        </is>
      </c>
      <c r="B32" s="13" t="inlineStr">
        <is>
          <t>Табак</t>
        </is>
      </c>
      <c r="C32" s="14" t="inlineStr">
        <is>
          <t>Сигареты премиум</t>
        </is>
      </c>
      <c r="D32" s="53" t="n">
        <v>25.257</v>
      </c>
      <c r="E32" s="16" t="n">
        <v>1672.27</v>
      </c>
      <c r="F32" s="16" t="n">
        <v>1867</v>
      </c>
      <c r="G32" s="16" t="n">
        <v>194.73</v>
      </c>
      <c r="H32" s="54" t="n">
        <v>0.1043010176754151</v>
      </c>
    </row>
    <row r="33">
      <c r="A33" s="7" t="inlineStr">
        <is>
          <t>Касса №2 (зал)</t>
        </is>
      </c>
      <c r="B33" s="7" t="inlineStr">
        <is>
          <t>Хлеб</t>
        </is>
      </c>
      <c r="C33" s="8" t="inlineStr">
        <is>
          <t>Хлеб белый 500г</t>
        </is>
      </c>
      <c r="D33" s="50" t="n">
        <v>35.181</v>
      </c>
      <c r="E33" s="10" t="n">
        <v>7344.03</v>
      </c>
      <c r="F33" s="10" t="n">
        <v>8227.08</v>
      </c>
      <c r="G33" s="10" t="n">
        <v>883.05</v>
      </c>
      <c r="H33" s="51" t="n">
        <v>0.1073345585554048</v>
      </c>
    </row>
    <row r="34">
      <c r="A34" s="13" t="inlineStr">
        <is>
          <t>Касса №2 (зал)</t>
        </is>
      </c>
      <c r="B34" s="13" t="inlineStr">
        <is>
          <t>Яйца</t>
        </is>
      </c>
      <c r="C34" s="14" t="inlineStr">
        <is>
          <t>Яйца С1 10шт</t>
        </is>
      </c>
      <c r="D34" s="53" t="n">
        <v>17.43</v>
      </c>
      <c r="E34" s="16" t="n">
        <v>3342.55</v>
      </c>
      <c r="F34" s="16" t="n">
        <v>3895.43</v>
      </c>
      <c r="G34" s="16" t="n">
        <v>552.88</v>
      </c>
      <c r="H34" s="54" t="n">
        <v>0.1419304158976031</v>
      </c>
    </row>
    <row r="35">
      <c r="A35" s="23" t="inlineStr">
        <is>
          <t>Итого: Касса №2 (зал)</t>
        </is>
      </c>
      <c r="B35" s="23" t="inlineStr"/>
      <c r="C35" s="23" t="inlineStr"/>
      <c r="D35" s="57" t="n">
        <v>532.647</v>
      </c>
      <c r="E35" s="25" t="n">
        <v>61526.48</v>
      </c>
      <c r="F35" s="25" t="n">
        <v>79634.2</v>
      </c>
      <c r="G35" s="25" t="n">
        <v>18107.72</v>
      </c>
      <c r="H35" s="58" t="n">
        <v>0.2273862235069857</v>
      </c>
    </row>
    <row r="36">
      <c r="A36" s="13" t="inlineStr">
        <is>
          <t>Касса №3 (табак)</t>
        </is>
      </c>
      <c r="B36" s="13" t="inlineStr">
        <is>
          <t>Бакалея</t>
        </is>
      </c>
      <c r="C36" s="14" t="inlineStr">
        <is>
          <t>Масло подсолн. 1л</t>
        </is>
      </c>
      <c r="D36" s="53" t="n">
        <v>57.616</v>
      </c>
      <c r="E36" s="16" t="n">
        <v>7996.04</v>
      </c>
      <c r="F36" s="16" t="n">
        <v>10142.47</v>
      </c>
      <c r="G36" s="16" t="n">
        <v>2146.43</v>
      </c>
      <c r="H36" s="54" t="n">
        <v>0.2116279367846294</v>
      </c>
    </row>
    <row r="37">
      <c r="A37" s="7" t="inlineStr">
        <is>
          <t>Касса №3 (табак)</t>
        </is>
      </c>
      <c r="B37" s="7" t="inlineStr">
        <is>
          <t>Бакалея</t>
        </is>
      </c>
      <c r="C37" s="8" t="inlineStr">
        <is>
          <t>Сахар 1кг</t>
        </is>
      </c>
      <c r="D37" s="50" t="n">
        <v>17.72</v>
      </c>
      <c r="E37" s="10" t="n">
        <v>973.3200000000001</v>
      </c>
      <c r="F37" s="10" t="n">
        <v>1474.23</v>
      </c>
      <c r="G37" s="10" t="n">
        <v>500.91</v>
      </c>
      <c r="H37" s="51" t="n">
        <v>0.3397773753077878</v>
      </c>
    </row>
    <row r="38">
      <c r="A38" s="13" t="inlineStr">
        <is>
          <t>Касса №3 (табак)</t>
        </is>
      </c>
      <c r="B38" s="13" t="inlineStr">
        <is>
          <t>Бакалея</t>
        </is>
      </c>
      <c r="C38" s="14" t="inlineStr">
        <is>
          <t>Рис 1кг</t>
        </is>
      </c>
      <c r="D38" s="53" t="n">
        <v>16.739</v>
      </c>
      <c r="E38" s="16" t="n">
        <v>3199.33</v>
      </c>
      <c r="F38" s="16" t="n">
        <v>3536.78</v>
      </c>
      <c r="G38" s="16" t="n">
        <v>337.45</v>
      </c>
      <c r="H38" s="54" t="n">
        <v>0.09541164562115823</v>
      </c>
    </row>
    <row r="39">
      <c r="A39" s="7" t="inlineStr">
        <is>
          <t>Касса №3 (табак)</t>
        </is>
      </c>
      <c r="B39" s="7" t="inlineStr">
        <is>
          <t>Кондитерка</t>
        </is>
      </c>
      <c r="C39" s="8" t="inlineStr">
        <is>
          <t>Печенье 300г</t>
        </is>
      </c>
      <c r="D39" s="50" t="n">
        <v>12.317</v>
      </c>
      <c r="E39" s="10" t="n">
        <v>1720.43</v>
      </c>
      <c r="F39" s="10" t="n">
        <v>1864.79</v>
      </c>
      <c r="G39" s="10" t="n">
        <v>144.36</v>
      </c>
      <c r="H39" s="51" t="n">
        <v>0.07741354254366443</v>
      </c>
    </row>
    <row r="40">
      <c r="A40" s="13" t="inlineStr">
        <is>
          <t>Касса №3 (табак)</t>
        </is>
      </c>
      <c r="B40" s="13" t="inlineStr">
        <is>
          <t>Молочные</t>
        </is>
      </c>
      <c r="C40" s="14" t="inlineStr">
        <is>
          <t>Сыр Гауда 200г</t>
        </is>
      </c>
      <c r="D40" s="53" t="n">
        <v>28.119</v>
      </c>
      <c r="E40" s="16" t="n">
        <v>2083.61</v>
      </c>
      <c r="F40" s="16" t="n">
        <v>2821.41</v>
      </c>
      <c r="G40" s="16" t="n">
        <v>737.8</v>
      </c>
      <c r="H40" s="54" t="n">
        <v>0.2615004554460359</v>
      </c>
    </row>
    <row r="41">
      <c r="A41" s="7" t="inlineStr">
        <is>
          <t>Касса №3 (табак)</t>
        </is>
      </c>
      <c r="B41" s="7" t="inlineStr">
        <is>
          <t>Молочные</t>
        </is>
      </c>
      <c r="C41" s="8" t="inlineStr">
        <is>
          <t>Молоко 2.5% 1л</t>
        </is>
      </c>
      <c r="D41" s="50" t="n">
        <v>31.555</v>
      </c>
      <c r="E41" s="10" t="n">
        <v>3414.93</v>
      </c>
      <c r="F41" s="10" t="n">
        <v>3909.21</v>
      </c>
      <c r="G41" s="10" t="n">
        <v>494.28</v>
      </c>
      <c r="H41" s="51" t="n">
        <v>0.1264398689249235</v>
      </c>
    </row>
    <row r="42">
      <c r="A42" s="13" t="inlineStr">
        <is>
          <t>Касса №3 (табак)</t>
        </is>
      </c>
      <c r="B42" s="13" t="inlineStr">
        <is>
          <t>Мясо</t>
        </is>
      </c>
      <c r="C42" s="14" t="inlineStr">
        <is>
          <t>Курица охлажд. кг</t>
        </is>
      </c>
      <c r="D42" s="53" t="n">
        <v>86.07899999999999</v>
      </c>
      <c r="E42" s="16" t="n">
        <v>12187.9</v>
      </c>
      <c r="F42" s="16" t="n">
        <v>16389.23</v>
      </c>
      <c r="G42" s="16" t="n">
        <v>4201.33</v>
      </c>
      <c r="H42" s="54" t="n">
        <v>0.2563470034894867</v>
      </c>
    </row>
    <row r="43">
      <c r="A43" s="7" t="inlineStr">
        <is>
          <t>Касса №3 (табак)</t>
        </is>
      </c>
      <c r="B43" s="7" t="inlineStr">
        <is>
          <t>Мясо</t>
        </is>
      </c>
      <c r="C43" s="8" t="inlineStr">
        <is>
          <t>Колбаса варёная 400г</t>
        </is>
      </c>
      <c r="D43" s="50" t="n">
        <v>42.839</v>
      </c>
      <c r="E43" s="10" t="n">
        <v>6353.61</v>
      </c>
      <c r="F43" s="10" t="n">
        <v>8942.52</v>
      </c>
      <c r="G43" s="10" t="n">
        <v>2588.91</v>
      </c>
      <c r="H43" s="51" t="n">
        <v>0.2895056427047409</v>
      </c>
    </row>
    <row r="44">
      <c r="A44" s="13" t="inlineStr">
        <is>
          <t>Касса №3 (табак)</t>
        </is>
      </c>
      <c r="B44" s="13" t="inlineStr">
        <is>
          <t>Напитки</t>
        </is>
      </c>
      <c r="C44" s="14" t="inlineStr">
        <is>
          <t>Вода 1.5л</t>
        </is>
      </c>
      <c r="D44" s="53" t="n">
        <v>99.456</v>
      </c>
      <c r="E44" s="16" t="n">
        <v>15711.3</v>
      </c>
      <c r="F44" s="16" t="n">
        <v>19649.68</v>
      </c>
      <c r="G44" s="16" t="n">
        <v>3938.38</v>
      </c>
      <c r="H44" s="54" t="n">
        <v>0.2004297270998815</v>
      </c>
    </row>
    <row r="45">
      <c r="A45" s="7" t="inlineStr">
        <is>
          <t>Касса №3 (табак)</t>
        </is>
      </c>
      <c r="B45" s="7" t="inlineStr">
        <is>
          <t>Напитки</t>
        </is>
      </c>
      <c r="C45" s="8" t="inlineStr">
        <is>
          <t>Чай чёрный 100пак</t>
        </is>
      </c>
      <c r="D45" s="50" t="n">
        <v>49.743</v>
      </c>
      <c r="E45" s="10" t="n">
        <v>8491.92</v>
      </c>
      <c r="F45" s="10" t="n">
        <v>11399.73</v>
      </c>
      <c r="G45" s="10" t="n">
        <v>2907.81</v>
      </c>
      <c r="H45" s="51" t="n">
        <v>0.2550770939311721</v>
      </c>
    </row>
    <row r="46">
      <c r="A46" s="13" t="inlineStr">
        <is>
          <t>Касса №3 (табак)</t>
        </is>
      </c>
      <c r="B46" s="13" t="inlineStr">
        <is>
          <t>Напитки</t>
        </is>
      </c>
      <c r="C46" s="14" t="inlineStr">
        <is>
          <t>Кофе молотый 250г</t>
        </is>
      </c>
      <c r="D46" s="53" t="n">
        <v>33.432</v>
      </c>
      <c r="E46" s="16" t="n">
        <v>2421.15</v>
      </c>
      <c r="F46" s="16" t="n">
        <v>2854.09</v>
      </c>
      <c r="G46" s="16" t="n">
        <v>432.94</v>
      </c>
      <c r="H46" s="54" t="n">
        <v>0.1516910819210326</v>
      </c>
    </row>
    <row r="47">
      <c r="A47" s="7" t="inlineStr">
        <is>
          <t>Касса №3 (табак)</t>
        </is>
      </c>
      <c r="B47" s="7" t="inlineStr">
        <is>
          <t>Овощи-фрукты</t>
        </is>
      </c>
      <c r="C47" s="8" t="inlineStr">
        <is>
          <t>Бананы кг</t>
        </is>
      </c>
      <c r="D47" s="50" t="n">
        <v>51.444</v>
      </c>
      <c r="E47" s="10" t="n">
        <v>6826.57</v>
      </c>
      <c r="F47" s="10" t="n">
        <v>8548.35</v>
      </c>
      <c r="G47" s="10" t="n">
        <v>1721.78</v>
      </c>
      <c r="H47" s="51" t="n">
        <v>0.2014166476571502</v>
      </c>
    </row>
    <row r="48">
      <c r="A48" s="13" t="inlineStr">
        <is>
          <t>Касса №3 (табак)</t>
        </is>
      </c>
      <c r="B48" s="13" t="inlineStr">
        <is>
          <t>Овощи-фрукты</t>
        </is>
      </c>
      <c r="C48" s="14" t="inlineStr">
        <is>
          <t>Картофель кг</t>
        </is>
      </c>
      <c r="D48" s="53" t="n">
        <v>23.433</v>
      </c>
      <c r="E48" s="16" t="n">
        <v>5073.48</v>
      </c>
      <c r="F48" s="16" t="n">
        <v>5570.49</v>
      </c>
      <c r="G48" s="16" t="n">
        <v>497.01</v>
      </c>
      <c r="H48" s="54" t="n">
        <v>0.08922195354448173</v>
      </c>
    </row>
    <row r="49">
      <c r="A49" s="7" t="inlineStr">
        <is>
          <t>Касса №3 (табак)</t>
        </is>
      </c>
      <c r="B49" s="7" t="inlineStr">
        <is>
          <t>Табак</t>
        </is>
      </c>
      <c r="C49" s="8" t="inlineStr">
        <is>
          <t>Сигареты премиум</t>
        </is>
      </c>
      <c r="D49" s="50" t="n">
        <v>29.163</v>
      </c>
      <c r="E49" s="10" t="n">
        <v>5857.33</v>
      </c>
      <c r="F49" s="10" t="n">
        <v>8855.969999999999</v>
      </c>
      <c r="G49" s="10" t="n">
        <v>2998.64</v>
      </c>
      <c r="H49" s="51" t="n">
        <v>0.3386009663537703</v>
      </c>
    </row>
    <row r="50">
      <c r="A50" s="13" t="inlineStr">
        <is>
          <t>Касса №3 (табак)</t>
        </is>
      </c>
      <c r="B50" s="13" t="inlineStr">
        <is>
          <t>Хлеб</t>
        </is>
      </c>
      <c r="C50" s="14" t="inlineStr">
        <is>
          <t>Хлеб белый 500г</t>
        </is>
      </c>
      <c r="D50" s="53" t="n">
        <v>37.063</v>
      </c>
      <c r="E50" s="16" t="n">
        <v>3198.59</v>
      </c>
      <c r="F50" s="16" t="n">
        <v>4597.31</v>
      </c>
      <c r="G50" s="16" t="n">
        <v>1398.72</v>
      </c>
      <c r="H50" s="54" t="n">
        <v>0.304247483854689</v>
      </c>
    </row>
    <row r="51">
      <c r="A51" s="23" t="inlineStr">
        <is>
          <t>Итого: Касса №3 (табак)</t>
        </is>
      </c>
      <c r="B51" s="23" t="inlineStr"/>
      <c r="C51" s="23" t="inlineStr"/>
      <c r="D51" s="57" t="n">
        <v>616.718</v>
      </c>
      <c r="E51" s="25" t="n">
        <v>85509.50999999999</v>
      </c>
      <c r="F51" s="25" t="n">
        <v>110556.26</v>
      </c>
      <c r="G51" s="25" t="n">
        <v>25046.75</v>
      </c>
      <c r="H51" s="58" t="n">
        <v>0.2265520740300006</v>
      </c>
    </row>
    <row r="52">
      <c r="A52" s="27" t="inlineStr">
        <is>
          <t>ВСЕГО</t>
        </is>
      </c>
      <c r="B52" s="27" t="inlineStr"/>
      <c r="C52" s="27" t="inlineStr"/>
      <c r="D52" s="59" t="n">
        <v>1810.882</v>
      </c>
      <c r="E52" s="29" t="n">
        <v>220379.79</v>
      </c>
      <c r="F52" s="29" t="n">
        <v>289175.66</v>
      </c>
      <c r="G52" s="29" t="n">
        <v>68795.87</v>
      </c>
      <c r="H52" s="60" t="n">
        <v>0.2379033906242317</v>
      </c>
    </row>
  </sheetData>
  <mergeCells count="1">
    <mergeCell ref="A2:H2"/>
  </mergeCells>
  <conditionalFormatting sqref="H5:H5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7" customWidth="1" min="4" max="4"/>
    <col width="17" customWidth="1" min="5" max="5"/>
    <col width="21" customWidth="1" min="6" max="6"/>
    <col width="21" customWidth="1" min="7" max="7"/>
  </cols>
  <sheetData>
    <row r="1">
      <c r="A1" s="1" t="inlineStr">
        <is>
          <t>Валовая прибыль по сотрудникам (кассирам)</t>
        </is>
      </c>
    </row>
    <row r="2">
      <c r="A2" s="2" t="inlineStr">
        <is>
          <t>Срез по измерению Сотрудник регистра Продажи. Полезно для мотивации и контроля смен.</t>
        </is>
      </c>
    </row>
    <row r="4">
      <c r="A4" s="5" t="inlineStr">
        <is>
          <t>Сотрудник</t>
        </is>
      </c>
      <c r="B4" s="5" t="inlineStr">
        <is>
          <t>Количество</t>
        </is>
      </c>
      <c r="C4" s="5" t="inlineStr">
        <is>
          <t>Себестоимость</t>
        </is>
      </c>
      <c r="D4" s="5" t="inlineStr">
        <is>
          <t>Продажная сумма</t>
        </is>
      </c>
      <c r="E4" s="5" t="inlineStr">
        <is>
          <t>Валовая прибыль</t>
        </is>
      </c>
      <c r="F4" s="5" t="inlineStr">
        <is>
          <t>Рентабельность %</t>
        </is>
      </c>
      <c r="G4" s="5" t="inlineStr">
        <is>
          <t>Доля продаж %</t>
        </is>
      </c>
    </row>
    <row r="5">
      <c r="A5" s="7" t="inlineStr">
        <is>
          <t>Петренко М.С.</t>
        </is>
      </c>
      <c r="B5" s="61" t="n">
        <v>571.255</v>
      </c>
      <c r="C5" s="10" t="n">
        <v>65551.27</v>
      </c>
      <c r="D5" s="10" t="n">
        <v>85360.07000000001</v>
      </c>
      <c r="E5" s="10" t="n">
        <v>19808.8</v>
      </c>
      <c r="F5" s="51" t="n">
        <v>0.2320616653664881</v>
      </c>
      <c r="G5" s="51" t="n">
        <v>0.2951841451662979</v>
      </c>
    </row>
    <row r="6">
      <c r="A6" s="13" t="inlineStr">
        <is>
          <t>Иванова А.П.</t>
        </is>
      </c>
      <c r="B6" s="62" t="n">
        <v>477.57</v>
      </c>
      <c r="C6" s="16" t="n">
        <v>58824.09</v>
      </c>
      <c r="D6" s="16" t="n">
        <v>76809.14</v>
      </c>
      <c r="E6" s="16" t="n">
        <v>17985.05</v>
      </c>
      <c r="F6" s="54" t="n">
        <v>0.2341524719584153</v>
      </c>
      <c r="G6" s="54" t="n">
        <v>0.2656141253382114</v>
      </c>
    </row>
    <row r="7">
      <c r="A7" s="7" t="inlineStr">
        <is>
          <t>Сидоренко Т.И.</t>
        </is>
      </c>
      <c r="B7" s="61" t="n">
        <v>356.821</v>
      </c>
      <c r="C7" s="10" t="n">
        <v>54046.22</v>
      </c>
      <c r="D7" s="10" t="n">
        <v>70137.23</v>
      </c>
      <c r="E7" s="10" t="n">
        <v>16091.01</v>
      </c>
      <c r="F7" s="51" t="n">
        <v>0.2294218063644658</v>
      </c>
      <c r="G7" s="51" t="n">
        <v>0.2425419552945777</v>
      </c>
    </row>
    <row r="8">
      <c r="A8" s="13" t="inlineStr">
        <is>
          <t>Ковальчук О.В.</t>
        </is>
      </c>
      <c r="B8" s="62" t="n">
        <v>405.236</v>
      </c>
      <c r="C8" s="16" t="n">
        <v>41958.21</v>
      </c>
      <c r="D8" s="16" t="n">
        <v>56869.22</v>
      </c>
      <c r="E8" s="16" t="n">
        <v>14911.01</v>
      </c>
      <c r="F8" s="54" t="n">
        <v>0.2621982506529894</v>
      </c>
      <c r="G8" s="54" t="n">
        <v>0.1966597742009131</v>
      </c>
    </row>
    <row r="11">
      <c r="A11" s="33" t="inlineStr">
        <is>
          <t>Детализация: сотрудник → номенклатура</t>
        </is>
      </c>
    </row>
    <row r="12">
      <c r="A12" s="5" t="inlineStr">
        <is>
          <t>Сотрудник</t>
        </is>
      </c>
      <c r="B12" s="5" t="inlineStr">
        <is>
          <t>Номенклатура</t>
        </is>
      </c>
      <c r="C12" s="5" t="inlineStr">
        <is>
          <t>Количество</t>
        </is>
      </c>
      <c r="D12" s="5" t="inlineStr">
        <is>
          <t>Себестоимость</t>
        </is>
      </c>
      <c r="E12" s="5" t="inlineStr">
        <is>
          <t>Продажная сумма</t>
        </is>
      </c>
      <c r="F12" s="5" t="inlineStr">
        <is>
          <t>Валовая прибыль</t>
        </is>
      </c>
      <c r="G12" s="5" t="inlineStr">
        <is>
          <t>Рентабельность %</t>
        </is>
      </c>
    </row>
    <row r="13">
      <c r="A13" s="7" t="inlineStr">
        <is>
          <t>Иванова А.П.</t>
        </is>
      </c>
      <c r="B13" s="7" t="inlineStr">
        <is>
          <t>Шоколад 90г</t>
        </is>
      </c>
      <c r="C13" s="50" t="n">
        <v>64.846</v>
      </c>
      <c r="D13" s="10" t="n">
        <v>6259.17</v>
      </c>
      <c r="E13" s="10" t="n">
        <v>9096.309999999999</v>
      </c>
      <c r="F13" s="10" t="n">
        <v>2837.14</v>
      </c>
      <c r="G13" s="51" t="n">
        <v>0.3119001001505006</v>
      </c>
    </row>
    <row r="14">
      <c r="A14" s="13" t="inlineStr">
        <is>
          <t>Иванова А.П.</t>
        </is>
      </c>
      <c r="B14" s="13" t="inlineStr">
        <is>
          <t>Колбаса варёная 400г</t>
        </is>
      </c>
      <c r="C14" s="53" t="n">
        <v>42.839</v>
      </c>
      <c r="D14" s="16" t="n">
        <v>6353.61</v>
      </c>
      <c r="E14" s="16" t="n">
        <v>8942.52</v>
      </c>
      <c r="F14" s="16" t="n">
        <v>2588.91</v>
      </c>
      <c r="G14" s="54" t="n">
        <v>0.2895056427047409</v>
      </c>
    </row>
    <row r="15">
      <c r="A15" s="7" t="inlineStr">
        <is>
          <t>Иванова А.П.</t>
        </is>
      </c>
      <c r="B15" s="7" t="inlineStr">
        <is>
          <t>Хлеб белый 500г</t>
        </is>
      </c>
      <c r="C15" s="50" t="n">
        <v>68.58</v>
      </c>
      <c r="D15" s="10" t="n">
        <v>10368.98</v>
      </c>
      <c r="E15" s="10" t="n">
        <v>12588.32</v>
      </c>
      <c r="F15" s="10" t="n">
        <v>2219.34</v>
      </c>
      <c r="G15" s="51" t="n">
        <v>0.1763015239523622</v>
      </c>
    </row>
    <row r="16">
      <c r="A16" s="13" t="inlineStr">
        <is>
          <t>Иванова А.П.</t>
        </is>
      </c>
      <c r="B16" s="13" t="inlineStr">
        <is>
          <t>Йогурт 150г</t>
        </is>
      </c>
      <c r="C16" s="53" t="n">
        <v>21.4</v>
      </c>
      <c r="D16" s="16" t="n">
        <v>4576.82</v>
      </c>
      <c r="E16" s="16" t="n">
        <v>6794.5</v>
      </c>
      <c r="F16" s="16" t="n">
        <v>2217.68</v>
      </c>
      <c r="G16" s="54" t="n">
        <v>0.3263934064316726</v>
      </c>
    </row>
    <row r="17">
      <c r="A17" s="7" t="inlineStr">
        <is>
          <t>Иванова А.П.</t>
        </is>
      </c>
      <c r="B17" s="7" t="inlineStr">
        <is>
          <t>Курица охлажд. кг</t>
        </is>
      </c>
      <c r="C17" s="50" t="n">
        <v>32.486</v>
      </c>
      <c r="D17" s="10" t="n">
        <v>5010.5</v>
      </c>
      <c r="E17" s="10" t="n">
        <v>6876.77</v>
      </c>
      <c r="F17" s="10" t="n">
        <v>1866.27</v>
      </c>
      <c r="G17" s="51" t="n">
        <v>0.2713875845782249</v>
      </c>
    </row>
    <row r="18">
      <c r="A18" s="13" t="inlineStr">
        <is>
          <t>Иванова А.П.</t>
        </is>
      </c>
      <c r="B18" s="13" t="inlineStr">
        <is>
          <t>Кофе молотый 250г</t>
        </is>
      </c>
      <c r="C18" s="53" t="n">
        <v>37.693</v>
      </c>
      <c r="D18" s="16" t="n">
        <v>4853.73</v>
      </c>
      <c r="E18" s="16" t="n">
        <v>6562.73</v>
      </c>
      <c r="F18" s="16" t="n">
        <v>1709</v>
      </c>
      <c r="G18" s="54" t="n">
        <v>0.2604099208713447</v>
      </c>
    </row>
    <row r="19">
      <c r="A19" s="7" t="inlineStr">
        <is>
          <t>Иванова А.П.</t>
        </is>
      </c>
      <c r="B19" s="7" t="inlineStr">
        <is>
          <t>Сигареты премиум</t>
        </is>
      </c>
      <c r="C19" s="50" t="n">
        <v>27.341</v>
      </c>
      <c r="D19" s="10" t="n">
        <v>5108.94</v>
      </c>
      <c r="E19" s="10" t="n">
        <v>6312.76</v>
      </c>
      <c r="F19" s="10" t="n">
        <v>1203.82</v>
      </c>
      <c r="G19" s="51" t="n">
        <v>0.1906963039938157</v>
      </c>
    </row>
    <row r="20">
      <c r="A20" s="13" t="inlineStr">
        <is>
          <t>Иванова А.П.</t>
        </is>
      </c>
      <c r="B20" s="13" t="inlineStr">
        <is>
          <t>Рис 1кг</t>
        </is>
      </c>
      <c r="C20" s="53" t="n">
        <v>59.897</v>
      </c>
      <c r="D20" s="16" t="n">
        <v>5174.32</v>
      </c>
      <c r="E20" s="16" t="n">
        <v>6090.78</v>
      </c>
      <c r="F20" s="16" t="n">
        <v>916.46</v>
      </c>
      <c r="G20" s="54" t="n">
        <v>0.1504667710867902</v>
      </c>
    </row>
    <row r="21">
      <c r="A21" s="7" t="inlineStr">
        <is>
          <t>Иванова А.П.</t>
        </is>
      </c>
      <c r="B21" s="7" t="inlineStr">
        <is>
          <t>Бананы кг</t>
        </is>
      </c>
      <c r="C21" s="50" t="n">
        <v>31.419</v>
      </c>
      <c r="D21" s="10" t="n">
        <v>3765.49</v>
      </c>
      <c r="E21" s="10" t="n">
        <v>4523.8</v>
      </c>
      <c r="F21" s="10" t="n">
        <v>758.3099999999999</v>
      </c>
      <c r="G21" s="51" t="n">
        <v>0.167626773951103</v>
      </c>
    </row>
    <row r="22">
      <c r="A22" s="13" t="inlineStr">
        <is>
          <t>Иванова А.П.</t>
        </is>
      </c>
      <c r="B22" s="13" t="inlineStr">
        <is>
          <t>Яблоки кг</t>
        </is>
      </c>
      <c r="C22" s="53" t="n">
        <v>25.552</v>
      </c>
      <c r="D22" s="16" t="n">
        <v>1634.31</v>
      </c>
      <c r="E22" s="16" t="n">
        <v>2140.24</v>
      </c>
      <c r="F22" s="16" t="n">
        <v>505.93</v>
      </c>
      <c r="G22" s="54" t="n">
        <v>0.2363893768923112</v>
      </c>
    </row>
    <row r="23">
      <c r="A23" s="7" t="inlineStr">
        <is>
          <t>Иванова А.П.</t>
        </is>
      </c>
      <c r="B23" s="7" t="inlineStr">
        <is>
          <t>Масло подсолн. 1л</t>
        </is>
      </c>
      <c r="C23" s="50" t="n">
        <v>17.808</v>
      </c>
      <c r="D23" s="10" t="n">
        <v>2193.23</v>
      </c>
      <c r="E23" s="10" t="n">
        <v>2680.46</v>
      </c>
      <c r="F23" s="10" t="n">
        <v>487.23</v>
      </c>
      <c r="G23" s="51" t="n">
        <v>0.1817710392992248</v>
      </c>
    </row>
    <row r="24">
      <c r="A24" s="13" t="inlineStr">
        <is>
          <t>Иванова А.П.</t>
        </is>
      </c>
      <c r="B24" s="13" t="inlineStr">
        <is>
          <t>Вода 1.5л</t>
        </is>
      </c>
      <c r="C24" s="53" t="n">
        <v>16.163</v>
      </c>
      <c r="D24" s="16" t="n">
        <v>1691.02</v>
      </c>
      <c r="E24" s="16" t="n">
        <v>2096.94</v>
      </c>
      <c r="F24" s="16" t="n">
        <v>405.92</v>
      </c>
      <c r="G24" s="54" t="n">
        <v>0.1935773078867302</v>
      </c>
    </row>
    <row r="25">
      <c r="A25" s="7" t="inlineStr">
        <is>
          <t>Иванова А.П.</t>
        </is>
      </c>
      <c r="B25" s="7" t="inlineStr">
        <is>
          <t>Сыр Гауда 200г</t>
        </is>
      </c>
      <c r="C25" s="50" t="n">
        <v>29.791</v>
      </c>
      <c r="D25" s="10" t="n">
        <v>1785.08</v>
      </c>
      <c r="E25" s="10" t="n">
        <v>2044.85</v>
      </c>
      <c r="F25" s="10" t="n">
        <v>259.77</v>
      </c>
      <c r="G25" s="51" t="n">
        <v>0.1270362129251534</v>
      </c>
    </row>
    <row r="26">
      <c r="A26" s="13" t="inlineStr">
        <is>
          <t>Иванова А.П.</t>
        </is>
      </c>
      <c r="B26" s="13" t="inlineStr">
        <is>
          <t>Печенье 300г</t>
        </is>
      </c>
      <c r="C26" s="53" t="n">
        <v>1.755</v>
      </c>
      <c r="D26" s="16" t="n">
        <v>48.89</v>
      </c>
      <c r="E26" s="16" t="n">
        <v>58.16</v>
      </c>
      <c r="F26" s="16" t="n">
        <v>9.27</v>
      </c>
      <c r="G26" s="54" t="n">
        <v>0.1593878954607978</v>
      </c>
    </row>
    <row r="27">
      <c r="A27" s="7" t="inlineStr">
        <is>
          <t>Ковальчук О.В.</t>
        </is>
      </c>
      <c r="B27" s="7" t="inlineStr">
        <is>
          <t>Яблоки кг</t>
        </is>
      </c>
      <c r="C27" s="50" t="n">
        <v>46.985</v>
      </c>
      <c r="D27" s="10" t="n">
        <v>6319.51</v>
      </c>
      <c r="E27" s="10" t="n">
        <v>8851.639999999999</v>
      </c>
      <c r="F27" s="10" t="n">
        <v>2532.13</v>
      </c>
      <c r="G27" s="51" t="n">
        <v>0.2860633735669322</v>
      </c>
    </row>
    <row r="28">
      <c r="A28" s="13" t="inlineStr">
        <is>
          <t>Ковальчук О.В.</t>
        </is>
      </c>
      <c r="B28" s="13" t="inlineStr">
        <is>
          <t>Хлеб белый 500г</t>
        </is>
      </c>
      <c r="C28" s="53" t="n">
        <v>33.551</v>
      </c>
      <c r="D28" s="16" t="n">
        <v>3709.97</v>
      </c>
      <c r="E28" s="16" t="n">
        <v>5686.87</v>
      </c>
      <c r="F28" s="16" t="n">
        <v>1976.9</v>
      </c>
      <c r="G28" s="54" t="n">
        <v>0.3476253193760364</v>
      </c>
    </row>
    <row r="29">
      <c r="A29" s="7" t="inlineStr">
        <is>
          <t>Ковальчук О.В.</t>
        </is>
      </c>
      <c r="B29" s="7" t="inlineStr">
        <is>
          <t>Масло подсолн. 1л</t>
        </is>
      </c>
      <c r="C29" s="50" t="n">
        <v>34.285</v>
      </c>
      <c r="D29" s="10" t="n">
        <v>6572.09</v>
      </c>
      <c r="E29" s="10" t="n">
        <v>8271.940000000001</v>
      </c>
      <c r="F29" s="10" t="n">
        <v>1699.85</v>
      </c>
      <c r="G29" s="51" t="n">
        <v>0.2054959296126422</v>
      </c>
    </row>
    <row r="30">
      <c r="A30" s="13" t="inlineStr">
        <is>
          <t>Ковальчук О.В.</t>
        </is>
      </c>
      <c r="B30" s="13" t="inlineStr">
        <is>
          <t>Шоколад 90г</t>
        </is>
      </c>
      <c r="C30" s="53" t="n">
        <v>34.251</v>
      </c>
      <c r="D30" s="16" t="n">
        <v>5318.27</v>
      </c>
      <c r="E30" s="16" t="n">
        <v>6992.8</v>
      </c>
      <c r="F30" s="16" t="n">
        <v>1674.53</v>
      </c>
      <c r="G30" s="54" t="n">
        <v>0.2394648781603935</v>
      </c>
    </row>
    <row r="31">
      <c r="A31" s="7" t="inlineStr">
        <is>
          <t>Ковальчук О.В.</t>
        </is>
      </c>
      <c r="B31" s="7" t="inlineStr">
        <is>
          <t>Кофе молотый 250г</t>
        </is>
      </c>
      <c r="C31" s="50" t="n">
        <v>72.852</v>
      </c>
      <c r="D31" s="10" t="n">
        <v>4952.7</v>
      </c>
      <c r="E31" s="10" t="n">
        <v>6520.94</v>
      </c>
      <c r="F31" s="10" t="n">
        <v>1568.24</v>
      </c>
      <c r="G31" s="51" t="n">
        <v>0.2404929350676436</v>
      </c>
    </row>
    <row r="32">
      <c r="A32" s="13" t="inlineStr">
        <is>
          <t>Ковальчук О.В.</t>
        </is>
      </c>
      <c r="B32" s="13" t="inlineStr">
        <is>
          <t>Курица охлажд. кг</t>
        </is>
      </c>
      <c r="C32" s="53" t="n">
        <v>34.529</v>
      </c>
      <c r="D32" s="16" t="n">
        <v>3570.64</v>
      </c>
      <c r="E32" s="16" t="n">
        <v>5117.89</v>
      </c>
      <c r="F32" s="16" t="n">
        <v>1547.25</v>
      </c>
      <c r="G32" s="54" t="n">
        <v>0.3023218552958348</v>
      </c>
    </row>
    <row r="33">
      <c r="A33" s="7" t="inlineStr">
        <is>
          <t>Ковальчук О.В.</t>
        </is>
      </c>
      <c r="B33" s="7" t="inlineStr">
        <is>
          <t>Чай чёрный 100пак</t>
        </is>
      </c>
      <c r="C33" s="50" t="n">
        <v>34.984</v>
      </c>
      <c r="D33" s="10" t="n">
        <v>2899.04</v>
      </c>
      <c r="E33" s="10" t="n">
        <v>4396.85</v>
      </c>
      <c r="F33" s="10" t="n">
        <v>1497.81</v>
      </c>
      <c r="G33" s="51" t="n">
        <v>0.3406552418208491</v>
      </c>
    </row>
    <row r="34">
      <c r="A34" s="13" t="inlineStr">
        <is>
          <t>Ковальчук О.В.</t>
        </is>
      </c>
      <c r="B34" s="13" t="inlineStr">
        <is>
          <t>Сыр Гауда 200г</t>
        </is>
      </c>
      <c r="C34" s="53" t="n">
        <v>28.119</v>
      </c>
      <c r="D34" s="16" t="n">
        <v>2083.61</v>
      </c>
      <c r="E34" s="16" t="n">
        <v>2821.41</v>
      </c>
      <c r="F34" s="16" t="n">
        <v>737.8</v>
      </c>
      <c r="G34" s="54" t="n">
        <v>0.2615004554460359</v>
      </c>
    </row>
    <row r="35">
      <c r="A35" s="7" t="inlineStr">
        <is>
          <t>Ковальчук О.В.</t>
        </is>
      </c>
      <c r="B35" s="7" t="inlineStr">
        <is>
          <t>Яйца С1 10шт</t>
        </is>
      </c>
      <c r="C35" s="50" t="n">
        <v>20.86</v>
      </c>
      <c r="D35" s="10" t="n">
        <v>2965.87</v>
      </c>
      <c r="E35" s="10" t="n">
        <v>3670.32</v>
      </c>
      <c r="F35" s="10" t="n">
        <v>704.45</v>
      </c>
      <c r="G35" s="51" t="n">
        <v>0.19193149371172</v>
      </c>
    </row>
    <row r="36">
      <c r="A36" s="13" t="inlineStr">
        <is>
          <t>Ковальчук О.В.</t>
        </is>
      </c>
      <c r="B36" s="13" t="inlineStr">
        <is>
          <t>Молоко 2.5% 1л</t>
        </is>
      </c>
      <c r="C36" s="53" t="n">
        <v>36.589</v>
      </c>
      <c r="D36" s="16" t="n">
        <v>1213.59</v>
      </c>
      <c r="E36" s="16" t="n">
        <v>1585.47</v>
      </c>
      <c r="F36" s="16" t="n">
        <v>371.88</v>
      </c>
      <c r="G36" s="54" t="n">
        <v>0.2345550530757441</v>
      </c>
    </row>
    <row r="37">
      <c r="A37" s="7" t="inlineStr">
        <is>
          <t>Ковальчук О.В.</t>
        </is>
      </c>
      <c r="B37" s="7" t="inlineStr">
        <is>
          <t>Сахар 1кг</t>
        </is>
      </c>
      <c r="C37" s="50" t="n">
        <v>15.239</v>
      </c>
      <c r="D37" s="10" t="n">
        <v>702.6900000000001</v>
      </c>
      <c r="E37" s="10" t="n">
        <v>1065.01</v>
      </c>
      <c r="F37" s="10" t="n">
        <v>362.32</v>
      </c>
      <c r="G37" s="51" t="n">
        <v>0.3402033783720341</v>
      </c>
    </row>
    <row r="38">
      <c r="A38" s="13" t="inlineStr">
        <is>
          <t>Ковальчук О.В.</t>
        </is>
      </c>
      <c r="B38" s="13" t="inlineStr">
        <is>
          <t>Йогурт 150г</t>
        </is>
      </c>
      <c r="C38" s="53" t="n">
        <v>7.26</v>
      </c>
      <c r="D38" s="16" t="n">
        <v>1180.26</v>
      </c>
      <c r="E38" s="16" t="n">
        <v>1365.32</v>
      </c>
      <c r="F38" s="16" t="n">
        <v>185.06</v>
      </c>
      <c r="G38" s="54" t="n">
        <v>0.1355433158526939</v>
      </c>
    </row>
    <row r="39">
      <c r="A39" s="7" t="inlineStr">
        <is>
          <t>Ковальчук О.В.</t>
        </is>
      </c>
      <c r="B39" s="7" t="inlineStr">
        <is>
          <t>Сигареты премиум</t>
        </is>
      </c>
      <c r="C39" s="50" t="n">
        <v>5.732</v>
      </c>
      <c r="D39" s="10" t="n">
        <v>469.97</v>
      </c>
      <c r="E39" s="10" t="n">
        <v>522.76</v>
      </c>
      <c r="F39" s="10" t="n">
        <v>52.79</v>
      </c>
      <c r="G39" s="51" t="n">
        <v>0.1009832427882776</v>
      </c>
    </row>
    <row r="40">
      <c r="A40" s="13" t="inlineStr">
        <is>
          <t>Петренко М.С.</t>
        </is>
      </c>
      <c r="B40" s="13" t="inlineStr">
        <is>
          <t>Сигареты премиум</t>
        </is>
      </c>
      <c r="C40" s="53" t="n">
        <v>54.42</v>
      </c>
      <c r="D40" s="16" t="n">
        <v>7529.6</v>
      </c>
      <c r="E40" s="16" t="n">
        <v>10722.97</v>
      </c>
      <c r="F40" s="16" t="n">
        <v>3193.37</v>
      </c>
      <c r="G40" s="54" t="n">
        <v>0.2978064845840285</v>
      </c>
    </row>
    <row r="41">
      <c r="A41" s="7" t="inlineStr">
        <is>
          <t>Петренко М.С.</t>
        </is>
      </c>
      <c r="B41" s="7" t="inlineStr">
        <is>
          <t>Шоколад 90г</t>
        </is>
      </c>
      <c r="C41" s="50" t="n">
        <v>43.056</v>
      </c>
      <c r="D41" s="10" t="n">
        <v>7379.14</v>
      </c>
      <c r="E41" s="10" t="n">
        <v>10480.4</v>
      </c>
      <c r="F41" s="10" t="n">
        <v>3101.26</v>
      </c>
      <c r="G41" s="51" t="n">
        <v>0.2959104614327697</v>
      </c>
    </row>
    <row r="42">
      <c r="A42" s="13" t="inlineStr">
        <is>
          <t>Петренко М.С.</t>
        </is>
      </c>
      <c r="B42" s="13" t="inlineStr">
        <is>
          <t>Курица охлажд. кг</t>
        </is>
      </c>
      <c r="C42" s="53" t="n">
        <v>56.7</v>
      </c>
      <c r="D42" s="16" t="n">
        <v>7485.45</v>
      </c>
      <c r="E42" s="16" t="n">
        <v>9527.26</v>
      </c>
      <c r="F42" s="16" t="n">
        <v>2041.81</v>
      </c>
      <c r="G42" s="54" t="n">
        <v>0.2143124046158078</v>
      </c>
    </row>
    <row r="43">
      <c r="A43" s="7" t="inlineStr">
        <is>
          <t>Петренко М.С.</t>
        </is>
      </c>
      <c r="B43" s="7" t="inlineStr">
        <is>
          <t>Йогурт 150г</t>
        </is>
      </c>
      <c r="C43" s="50" t="n">
        <v>54.337</v>
      </c>
      <c r="D43" s="10" t="n">
        <v>5131.68</v>
      </c>
      <c r="E43" s="10" t="n">
        <v>7140.62</v>
      </c>
      <c r="F43" s="10" t="n">
        <v>2008.94</v>
      </c>
      <c r="G43" s="51" t="n">
        <v>0.2813397155989256</v>
      </c>
    </row>
    <row r="44">
      <c r="A44" s="13" t="inlineStr">
        <is>
          <t>Петренко М.С.</t>
        </is>
      </c>
      <c r="B44" s="13" t="inlineStr">
        <is>
          <t>Вода 1.5л</t>
        </is>
      </c>
      <c r="C44" s="53" t="n">
        <v>56.141</v>
      </c>
      <c r="D44" s="16" t="n">
        <v>8351.459999999999</v>
      </c>
      <c r="E44" s="16" t="n">
        <v>10147.86</v>
      </c>
      <c r="F44" s="16" t="n">
        <v>1796.4</v>
      </c>
      <c r="G44" s="54" t="n">
        <v>0.1770225446547351</v>
      </c>
    </row>
    <row r="45">
      <c r="A45" s="7" t="inlineStr">
        <is>
          <t>Петренко М.С.</t>
        </is>
      </c>
      <c r="B45" s="7" t="inlineStr">
        <is>
          <t>Молоко 2.5% 1л</t>
        </is>
      </c>
      <c r="C45" s="50" t="n">
        <v>63.885</v>
      </c>
      <c r="D45" s="10" t="n">
        <v>8458.73</v>
      </c>
      <c r="E45" s="10" t="n">
        <v>10163.13</v>
      </c>
      <c r="F45" s="10" t="n">
        <v>1704.4</v>
      </c>
      <c r="G45" s="51" t="n">
        <v>0.1677042407211164</v>
      </c>
    </row>
    <row r="46">
      <c r="A46" s="13" t="inlineStr">
        <is>
          <t>Петренко М.С.</t>
        </is>
      </c>
      <c r="B46" s="13" t="inlineStr">
        <is>
          <t>Яблоки кг</t>
        </is>
      </c>
      <c r="C46" s="53" t="n">
        <v>47.135</v>
      </c>
      <c r="D46" s="16" t="n">
        <v>3329.17</v>
      </c>
      <c r="E46" s="16" t="n">
        <v>4873.43</v>
      </c>
      <c r="F46" s="16" t="n">
        <v>1544.26</v>
      </c>
      <c r="G46" s="54" t="n">
        <v>0.316873331513944</v>
      </c>
    </row>
    <row r="47">
      <c r="A47" s="7" t="inlineStr">
        <is>
          <t>Петренко М.С.</t>
        </is>
      </c>
      <c r="B47" s="7" t="inlineStr">
        <is>
          <t>Бананы кг</t>
        </is>
      </c>
      <c r="C47" s="50" t="n">
        <v>32.262</v>
      </c>
      <c r="D47" s="10" t="n">
        <v>5017.71</v>
      </c>
      <c r="E47" s="10" t="n">
        <v>6514.67</v>
      </c>
      <c r="F47" s="10" t="n">
        <v>1496.96</v>
      </c>
      <c r="G47" s="51" t="n">
        <v>0.229782936050483</v>
      </c>
    </row>
    <row r="48">
      <c r="A48" s="13" t="inlineStr">
        <is>
          <t>Петренко М.С.</t>
        </is>
      </c>
      <c r="B48" s="13" t="inlineStr">
        <is>
          <t>Картофель кг</t>
        </is>
      </c>
      <c r="C48" s="53" t="n">
        <v>55.019</v>
      </c>
      <c r="D48" s="16" t="n">
        <v>2802.46</v>
      </c>
      <c r="E48" s="16" t="n">
        <v>3998.4</v>
      </c>
      <c r="F48" s="16" t="n">
        <v>1195.94</v>
      </c>
      <c r="G48" s="54" t="n">
        <v>0.2991046418567426</v>
      </c>
    </row>
    <row r="49">
      <c r="A49" s="7" t="inlineStr">
        <is>
          <t>Петренко М.С.</t>
        </is>
      </c>
      <c r="B49" s="7" t="inlineStr">
        <is>
          <t>Хлеб белый 500г</t>
        </is>
      </c>
      <c r="C49" s="50" t="n">
        <v>32.928</v>
      </c>
      <c r="D49" s="10" t="n">
        <v>5374.73</v>
      </c>
      <c r="E49" s="10" t="n">
        <v>6120.48</v>
      </c>
      <c r="F49" s="10" t="n">
        <v>745.75</v>
      </c>
      <c r="G49" s="51" t="n">
        <v>0.1218450186913445</v>
      </c>
    </row>
    <row r="50">
      <c r="A50" s="13" t="inlineStr">
        <is>
          <t>Петренко М.С.</t>
        </is>
      </c>
      <c r="B50" s="13" t="inlineStr">
        <is>
          <t>Масло подсолн. 1л</t>
        </is>
      </c>
      <c r="C50" s="53" t="n">
        <v>12.717</v>
      </c>
      <c r="D50" s="16" t="n">
        <v>1202.77</v>
      </c>
      <c r="E50" s="16" t="n">
        <v>1526.42</v>
      </c>
      <c r="F50" s="16" t="n">
        <v>323.65</v>
      </c>
      <c r="G50" s="54" t="n">
        <v>0.2120320750514275</v>
      </c>
    </row>
    <row r="51">
      <c r="A51" s="7" t="inlineStr">
        <is>
          <t>Петренко М.С.</t>
        </is>
      </c>
      <c r="B51" s="7" t="inlineStr">
        <is>
          <t>Сыр Гауда 200г</t>
        </is>
      </c>
      <c r="C51" s="50" t="n">
        <v>9.375999999999999</v>
      </c>
      <c r="D51" s="10" t="n">
        <v>746.99</v>
      </c>
      <c r="E51" s="10" t="n">
        <v>1013.26</v>
      </c>
      <c r="F51" s="10" t="n">
        <v>266.27</v>
      </c>
      <c r="G51" s="51" t="n">
        <v>0.2627854647375797</v>
      </c>
    </row>
    <row r="52">
      <c r="A52" s="13" t="inlineStr">
        <is>
          <t>Петренко М.С.</t>
        </is>
      </c>
      <c r="B52" s="13" t="inlineStr">
        <is>
          <t>Сахар 1кг</t>
        </is>
      </c>
      <c r="C52" s="53" t="n">
        <v>2.481</v>
      </c>
      <c r="D52" s="16" t="n">
        <v>270.63</v>
      </c>
      <c r="E52" s="16" t="n">
        <v>409.22</v>
      </c>
      <c r="F52" s="16" t="n">
        <v>138.59</v>
      </c>
      <c r="G52" s="54" t="n">
        <v>0.3386686867699526</v>
      </c>
    </row>
    <row r="53">
      <c r="A53" s="7" t="inlineStr">
        <is>
          <t>Петренко М.С.</t>
        </is>
      </c>
      <c r="B53" s="7" t="inlineStr">
        <is>
          <t>Печенье 300г</t>
        </is>
      </c>
      <c r="C53" s="50" t="n">
        <v>10.562</v>
      </c>
      <c r="D53" s="10" t="n">
        <v>1671.54</v>
      </c>
      <c r="E53" s="10" t="n">
        <v>1806.63</v>
      </c>
      <c r="F53" s="10" t="n">
        <v>135.09</v>
      </c>
      <c r="G53" s="51" t="n">
        <v>0.07477458029591007</v>
      </c>
    </row>
    <row r="54">
      <c r="A54" s="13" t="inlineStr">
        <is>
          <t>Петренко М.С.</t>
        </is>
      </c>
      <c r="B54" s="13" t="inlineStr">
        <is>
          <t>Яйца С1 10шт</t>
        </is>
      </c>
      <c r="C54" s="53" t="n">
        <v>38.313</v>
      </c>
      <c r="D54" s="16" t="n">
        <v>633.3099999999999</v>
      </c>
      <c r="E54" s="16" t="n">
        <v>693.08</v>
      </c>
      <c r="F54" s="16" t="n">
        <v>59.77</v>
      </c>
      <c r="G54" s="54" t="n">
        <v>0.08623824089571189</v>
      </c>
    </row>
    <row r="55">
      <c r="A55" s="7" t="inlineStr">
        <is>
          <t>Петренко М.С.</t>
        </is>
      </c>
      <c r="B55" s="7" t="inlineStr">
        <is>
          <t>Колбаса варёная 400г</t>
        </is>
      </c>
      <c r="C55" s="50" t="n">
        <v>1.923</v>
      </c>
      <c r="D55" s="10" t="n">
        <v>165.9</v>
      </c>
      <c r="E55" s="10" t="n">
        <v>222.24</v>
      </c>
      <c r="F55" s="10" t="n">
        <v>56.34</v>
      </c>
      <c r="G55" s="51" t="n">
        <v>0.2535097192224622</v>
      </c>
    </row>
    <row r="56">
      <c r="A56" s="13" t="inlineStr">
        <is>
          <t>Сидоренко Т.И.</t>
        </is>
      </c>
      <c r="B56" s="13" t="inlineStr">
        <is>
          <t>Вода 1.5л</t>
        </is>
      </c>
      <c r="C56" s="53" t="n">
        <v>68.19499999999999</v>
      </c>
      <c r="D56" s="16" t="n">
        <v>11060.8</v>
      </c>
      <c r="E56" s="16" t="n">
        <v>14796.83</v>
      </c>
      <c r="F56" s="16" t="n">
        <v>3736.03</v>
      </c>
      <c r="G56" s="54" t="n">
        <v>0.2524885397750734</v>
      </c>
    </row>
    <row r="57">
      <c r="A57" s="7" t="inlineStr">
        <is>
          <t>Сидоренко Т.И.</t>
        </is>
      </c>
      <c r="B57" s="7" t="inlineStr">
        <is>
          <t>Чай чёрный 100пак</t>
        </is>
      </c>
      <c r="C57" s="50" t="n">
        <v>38.314</v>
      </c>
      <c r="D57" s="10" t="n">
        <v>8391.92</v>
      </c>
      <c r="E57" s="10" t="n">
        <v>11255.5</v>
      </c>
      <c r="F57" s="10" t="n">
        <v>2863.58</v>
      </c>
      <c r="G57" s="51" t="n">
        <v>0.2544160632579628</v>
      </c>
    </row>
    <row r="58">
      <c r="A58" s="13" t="inlineStr">
        <is>
          <t>Сидоренко Т.И.</t>
        </is>
      </c>
      <c r="B58" s="13" t="inlineStr">
        <is>
          <t>Колбаса варёная 400г</t>
        </is>
      </c>
      <c r="C58" s="53" t="n">
        <v>45.697</v>
      </c>
      <c r="D58" s="16" t="n">
        <v>5555.99</v>
      </c>
      <c r="E58" s="16" t="n">
        <v>7709.82</v>
      </c>
      <c r="F58" s="16" t="n">
        <v>2153.83</v>
      </c>
      <c r="G58" s="54" t="n">
        <v>0.2793619046877878</v>
      </c>
    </row>
    <row r="59">
      <c r="A59" s="7" t="inlineStr">
        <is>
          <t>Сидоренко Т.И.</t>
        </is>
      </c>
      <c r="B59" s="7" t="inlineStr">
        <is>
          <t>Рис 1кг</t>
        </is>
      </c>
      <c r="C59" s="50" t="n">
        <v>31.564</v>
      </c>
      <c r="D59" s="10" t="n">
        <v>3172.81</v>
      </c>
      <c r="E59" s="10" t="n">
        <v>4894.31</v>
      </c>
      <c r="F59" s="10" t="n">
        <v>1721.5</v>
      </c>
      <c r="G59" s="51" t="n">
        <v>0.3517349738778295</v>
      </c>
    </row>
    <row r="60">
      <c r="A60" s="13" t="inlineStr">
        <is>
          <t>Сидоренко Т.И.</t>
        </is>
      </c>
      <c r="B60" s="13" t="inlineStr">
        <is>
          <t>Масло подсолн. 1л</t>
        </is>
      </c>
      <c r="C60" s="53" t="n">
        <v>39.808</v>
      </c>
      <c r="D60" s="16" t="n">
        <v>5802.81</v>
      </c>
      <c r="E60" s="16" t="n">
        <v>7462.01</v>
      </c>
      <c r="F60" s="16" t="n">
        <v>1659.2</v>
      </c>
      <c r="G60" s="54" t="n">
        <v>0.2223529585192194</v>
      </c>
    </row>
    <row r="61">
      <c r="A61" s="7" t="inlineStr">
        <is>
          <t>Сидоренко Т.И.</t>
        </is>
      </c>
      <c r="B61" s="7" t="inlineStr">
        <is>
          <t>Печенье 300г</t>
        </is>
      </c>
      <c r="C61" s="50" t="n">
        <v>19.341</v>
      </c>
      <c r="D61" s="10" t="n">
        <v>4020.22</v>
      </c>
      <c r="E61" s="10" t="n">
        <v>4906.04</v>
      </c>
      <c r="F61" s="10" t="n">
        <v>885.8200000000001</v>
      </c>
      <c r="G61" s="51" t="n">
        <v>0.1805570276638593</v>
      </c>
    </row>
    <row r="62">
      <c r="A62" s="13" t="inlineStr">
        <is>
          <t>Сидоренко Т.И.</t>
        </is>
      </c>
      <c r="B62" s="13" t="inlineStr">
        <is>
          <t>Яйца С1 10шт</t>
        </is>
      </c>
      <c r="C62" s="53" t="n">
        <v>27.331</v>
      </c>
      <c r="D62" s="16" t="n">
        <v>4825.92</v>
      </c>
      <c r="E62" s="16" t="n">
        <v>5646.82</v>
      </c>
      <c r="F62" s="16" t="n">
        <v>820.9</v>
      </c>
      <c r="G62" s="54" t="n">
        <v>0.1453738564360118</v>
      </c>
    </row>
    <row r="63">
      <c r="A63" s="7" t="inlineStr">
        <is>
          <t>Сидоренко Т.И.</t>
        </is>
      </c>
      <c r="B63" s="7" t="inlineStr">
        <is>
          <t>Картофель кг</t>
        </is>
      </c>
      <c r="C63" s="50" t="n">
        <v>36.562</v>
      </c>
      <c r="D63" s="10" t="n">
        <v>6681.91</v>
      </c>
      <c r="E63" s="10" t="n">
        <v>7412.23</v>
      </c>
      <c r="F63" s="10" t="n">
        <v>730.3200000000001</v>
      </c>
      <c r="G63" s="51" t="n">
        <v>0.09852905266026553</v>
      </c>
    </row>
    <row r="64">
      <c r="A64" s="13" t="inlineStr">
        <is>
          <t>Сидоренко Т.И.</t>
        </is>
      </c>
      <c r="B64" s="13" t="inlineStr">
        <is>
          <t>Сахар 1кг</t>
        </is>
      </c>
      <c r="C64" s="53" t="n">
        <v>18.461</v>
      </c>
      <c r="D64" s="16" t="n">
        <v>1468.57</v>
      </c>
      <c r="E64" s="16" t="n">
        <v>2193.17</v>
      </c>
      <c r="F64" s="16" t="n">
        <v>724.6</v>
      </c>
      <c r="G64" s="54" t="n">
        <v>0.3303893451032068</v>
      </c>
    </row>
    <row r="65">
      <c r="A65" s="7" t="inlineStr">
        <is>
          <t>Сидоренко Т.И.</t>
        </is>
      </c>
      <c r="B65" s="7" t="inlineStr">
        <is>
          <t>Кофе молотый 250г</t>
        </is>
      </c>
      <c r="C65" s="50" t="n">
        <v>6.329</v>
      </c>
      <c r="D65" s="10" t="n">
        <v>973.27</v>
      </c>
      <c r="E65" s="10" t="n">
        <v>1459.47</v>
      </c>
      <c r="F65" s="10" t="n">
        <v>486.2</v>
      </c>
      <c r="G65" s="51" t="n">
        <v>0.3331346310647015</v>
      </c>
    </row>
    <row r="66">
      <c r="A66" s="13" t="inlineStr">
        <is>
          <t>Сидоренко Т.И.</t>
        </is>
      </c>
      <c r="B66" s="13" t="inlineStr">
        <is>
          <t>Бананы кг</t>
        </is>
      </c>
      <c r="C66" s="53" t="n">
        <v>19.182</v>
      </c>
      <c r="D66" s="16" t="n">
        <v>1808.86</v>
      </c>
      <c r="E66" s="16" t="n">
        <v>2033.68</v>
      </c>
      <c r="F66" s="16" t="n">
        <v>224.82</v>
      </c>
      <c r="G66" s="54" t="n">
        <v>0.1105483655245663</v>
      </c>
    </row>
    <row r="67">
      <c r="A67" s="7" t="inlineStr">
        <is>
          <t>Сидоренко Т.И.</t>
        </is>
      </c>
      <c r="B67" s="7" t="inlineStr">
        <is>
          <t>Шоколад 90г</t>
        </is>
      </c>
      <c r="C67" s="50" t="n">
        <v>6.037</v>
      </c>
      <c r="D67" s="10" t="n">
        <v>283.14</v>
      </c>
      <c r="E67" s="10" t="n">
        <v>367.35</v>
      </c>
      <c r="F67" s="10" t="n">
        <v>84.20999999999999</v>
      </c>
      <c r="G67" s="51" t="n">
        <v>0.2292364230298081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P&amp;L-lite: свод по валовой прибыли (без opex / net)</t>
        </is>
      </c>
    </row>
    <row r="2">
      <c r="A2" s="2" t="inlineStr">
        <is>
          <t>Верх: KPI-карточки. Низ: матрица месяц × группа номенклатуры. Модель PTM: только sales / COGS / gross.</t>
        </is>
      </c>
    </row>
    <row r="4">
      <c r="A4" s="34" t="inlineStr">
        <is>
          <t>Продажи (выручка)</t>
        </is>
      </c>
      <c r="B4" s="63" t="n"/>
      <c r="C4" s="36" t="inlineStr">
        <is>
          <t>Себестоимость (COGS)</t>
        </is>
      </c>
      <c r="D4" s="63" t="n"/>
      <c r="E4" s="38" t="inlineStr">
        <is>
          <t>Валовая прибыль</t>
        </is>
      </c>
      <c r="F4" s="63" t="n"/>
      <c r="G4" s="40" t="inlineStr">
        <is>
          <t>Рентабельность %</t>
        </is>
      </c>
      <c r="H4" s="63" t="n"/>
    </row>
    <row r="5" ht="28" customHeight="1">
      <c r="A5" s="42" t="n">
        <v>289175.66</v>
      </c>
      <c r="B5" s="63" t="n"/>
      <c r="C5" s="43" t="n">
        <v>220379.79</v>
      </c>
      <c r="D5" s="63" t="n"/>
      <c r="E5" s="44" t="n">
        <v>68795.87</v>
      </c>
      <c r="F5" s="63" t="n"/>
      <c r="G5" s="64" t="n">
        <v>0.2379</v>
      </c>
      <c r="H5" s="63" t="n"/>
    </row>
    <row r="8">
      <c r="A8" s="33" t="inlineStr">
        <is>
          <t>Матрица: месяц × группа (валовая прибыль)</t>
        </is>
      </c>
    </row>
    <row r="9">
      <c r="A9" s="5" t="inlineStr">
        <is>
          <t>Группа</t>
        </is>
      </c>
      <c r="B9" s="5" t="inlineStr">
        <is>
          <t>2026-06</t>
        </is>
      </c>
      <c r="C9" s="5" t="inlineStr">
        <is>
          <t>Итого</t>
        </is>
      </c>
    </row>
    <row r="10">
      <c r="A10" s="13" t="inlineStr">
        <is>
          <t>Бакалея</t>
        </is>
      </c>
      <c r="B10" s="46" t="n">
        <v>8033.4</v>
      </c>
      <c r="C10" s="16" t="n">
        <v>8033.4</v>
      </c>
    </row>
    <row r="11">
      <c r="A11" s="7" t="inlineStr">
        <is>
          <t>Кондитерка</t>
        </is>
      </c>
      <c r="B11" s="47" t="n">
        <v>8727.32</v>
      </c>
      <c r="C11" s="10" t="n">
        <v>8727.32</v>
      </c>
    </row>
    <row r="12">
      <c r="A12" s="13" t="inlineStr">
        <is>
          <t>Молочные</t>
        </is>
      </c>
      <c r="B12" s="46" t="n">
        <v>7751.8</v>
      </c>
      <c r="C12" s="16" t="n">
        <v>7751.8</v>
      </c>
    </row>
    <row r="13">
      <c r="A13" s="7" t="inlineStr">
        <is>
          <t>Мясо</t>
        </is>
      </c>
      <c r="B13" s="47" t="n">
        <v>10254.41</v>
      </c>
      <c r="C13" s="10" t="n">
        <v>10254.41</v>
      </c>
    </row>
    <row r="14">
      <c r="A14" s="13" t="inlineStr">
        <is>
          <t>Напитки</t>
        </is>
      </c>
      <c r="B14" s="46" t="n">
        <v>14063.18</v>
      </c>
      <c r="C14" s="16" t="n">
        <v>14063.18</v>
      </c>
    </row>
    <row r="15">
      <c r="A15" s="7" t="inlineStr">
        <is>
          <t>Овощи-фрукты</t>
        </is>
      </c>
      <c r="B15" s="47" t="n">
        <v>8988.67</v>
      </c>
      <c r="C15" s="10" t="n">
        <v>8988.67</v>
      </c>
    </row>
    <row r="16">
      <c r="A16" s="13" t="inlineStr">
        <is>
          <t>Табак</t>
        </is>
      </c>
      <c r="B16" s="46" t="n">
        <v>4449.98</v>
      </c>
      <c r="C16" s="16" t="n">
        <v>4449.98</v>
      </c>
    </row>
    <row r="17">
      <c r="A17" s="7" t="inlineStr">
        <is>
          <t>Хлеб</t>
        </is>
      </c>
      <c r="B17" s="47" t="n">
        <v>4941.99</v>
      </c>
      <c r="C17" s="10" t="n">
        <v>4941.99</v>
      </c>
    </row>
    <row r="18">
      <c r="A18" s="13" t="inlineStr">
        <is>
          <t>Яйца</t>
        </is>
      </c>
      <c r="B18" s="46" t="n">
        <v>1585.12</v>
      </c>
      <c r="C18" s="16" t="n">
        <v>1585.12</v>
      </c>
    </row>
    <row r="19">
      <c r="A19" s="18" t="inlineStr">
        <is>
          <t>Итого</t>
        </is>
      </c>
      <c r="B19" s="48" t="n">
        <v>68795.87</v>
      </c>
      <c r="C19" s="21" t="n">
        <v>68795.87</v>
      </c>
    </row>
    <row r="22">
      <c r="A22" s="33" t="inlineStr">
        <is>
          <t>Рентабельность % по группам (весь период)</t>
        </is>
      </c>
    </row>
    <row r="23">
      <c r="A23" s="5" t="inlineStr">
        <is>
          <t>Группа</t>
        </is>
      </c>
      <c r="B23" s="5" t="inlineStr">
        <is>
          <t>Продажи</t>
        </is>
      </c>
      <c r="C23" s="5" t="inlineStr">
        <is>
          <t>Себестоимость</t>
        </is>
      </c>
      <c r="D23" s="5" t="inlineStr">
        <is>
          <t>Валовая прибыль</t>
        </is>
      </c>
      <c r="E23" s="5" t="inlineStr">
        <is>
          <t>Рентабельность %</t>
        </is>
      </c>
    </row>
    <row r="24">
      <c r="A24" s="13" t="inlineStr">
        <is>
          <t>Напитки</t>
        </is>
      </c>
      <c r="B24" s="46" t="n">
        <v>57237.12</v>
      </c>
      <c r="C24" s="16" t="n">
        <v>43173.94</v>
      </c>
      <c r="D24" s="16" t="n">
        <v>14063.18</v>
      </c>
      <c r="E24" s="54" t="n">
        <v>0.2457003427146579</v>
      </c>
    </row>
    <row r="25">
      <c r="A25" s="7" t="inlineStr">
        <is>
          <t>Мясо</t>
        </is>
      </c>
      <c r="B25" s="47" t="n">
        <v>38396.5</v>
      </c>
      <c r="C25" s="10" t="n">
        <v>28142.09</v>
      </c>
      <c r="D25" s="10" t="n">
        <v>10254.41</v>
      </c>
      <c r="E25" s="51" t="n">
        <v>0.2670662690609822</v>
      </c>
    </row>
    <row r="26">
      <c r="A26" s="13" t="inlineStr">
        <is>
          <t>Овощи-фрукты</t>
        </is>
      </c>
      <c r="B26" s="46" t="n">
        <v>40348.09</v>
      </c>
      <c r="C26" s="16" t="n">
        <v>31359.42</v>
      </c>
      <c r="D26" s="16" t="n">
        <v>8988.67</v>
      </c>
      <c r="E26" s="54" t="n">
        <v>0.2227780794580363</v>
      </c>
    </row>
    <row r="27">
      <c r="A27" s="7" t="inlineStr">
        <is>
          <t>Кондитерка</t>
        </is>
      </c>
      <c r="B27" s="47" t="n">
        <v>33707.69</v>
      </c>
      <c r="C27" s="10" t="n">
        <v>24980.37</v>
      </c>
      <c r="D27" s="10" t="n">
        <v>8727.32</v>
      </c>
      <c r="E27" s="51" t="n">
        <v>0.2589118388118556</v>
      </c>
    </row>
    <row r="28">
      <c r="A28" s="13" t="inlineStr">
        <is>
          <t>Бакалея</t>
        </is>
      </c>
      <c r="B28" s="46" t="n">
        <v>34593.32</v>
      </c>
      <c r="C28" s="16" t="n">
        <v>26559.92</v>
      </c>
      <c r="D28" s="16" t="n">
        <v>8033.4</v>
      </c>
      <c r="E28" s="54" t="n">
        <v>0.232224024753912</v>
      </c>
    </row>
    <row r="29">
      <c r="A29" s="7" t="inlineStr">
        <is>
          <t>Молочные</t>
        </is>
      </c>
      <c r="B29" s="47" t="n">
        <v>32928.56</v>
      </c>
      <c r="C29" s="10" t="n">
        <v>25176.76</v>
      </c>
      <c r="D29" s="10" t="n">
        <v>7751.8</v>
      </c>
      <c r="E29" s="51" t="n">
        <v>0.2354126630499482</v>
      </c>
    </row>
    <row r="30">
      <c r="A30" s="13" t="inlineStr">
        <is>
          <t>Хлеб</t>
        </is>
      </c>
      <c r="B30" s="46" t="n">
        <v>24395.67</v>
      </c>
      <c r="C30" s="16" t="n">
        <v>19453.68</v>
      </c>
      <c r="D30" s="16" t="n">
        <v>4941.99</v>
      </c>
      <c r="E30" s="54" t="n">
        <v>0.2025765228009725</v>
      </c>
    </row>
    <row r="31">
      <c r="A31" s="7" t="inlineStr">
        <is>
          <t>Табак</t>
        </is>
      </c>
      <c r="B31" s="47" t="n">
        <v>17558.49</v>
      </c>
      <c r="C31" s="10" t="n">
        <v>13108.51</v>
      </c>
      <c r="D31" s="10" t="n">
        <v>4449.98</v>
      </c>
      <c r="E31" s="51" t="n">
        <v>0.2534375108565713</v>
      </c>
    </row>
    <row r="32">
      <c r="A32" s="13" t="inlineStr">
        <is>
          <t>Яйца</t>
        </is>
      </c>
      <c r="B32" s="46" t="n">
        <v>10010.22</v>
      </c>
      <c r="C32" s="16" t="n">
        <v>8425.1</v>
      </c>
      <c r="D32" s="16" t="n">
        <v>1585.12</v>
      </c>
      <c r="E32" s="54" t="n">
        <v>0.1583501661302149</v>
      </c>
    </row>
  </sheetData>
  <mergeCells count="9">
    <mergeCell ref="A4:B4"/>
    <mergeCell ref="A2:F2"/>
    <mergeCell ref="E4:F4"/>
    <mergeCell ref="G4:H4"/>
    <mergeCell ref="C5:D5"/>
    <mergeCell ref="A5:B5"/>
    <mergeCell ref="G5:H5"/>
    <mergeCell ref="E5:F5"/>
    <mergeCell ref="C4:D4"/>
  </mergeCells>
  <conditionalFormatting sqref="B10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14" customWidth="1" min="4" max="4"/>
    <col width="18" customWidth="1" min="5" max="5"/>
    <col width="16" customWidth="1" min="6" max="6"/>
    <col width="12" customWidth="1" min="7" max="7"/>
    <col width="15" customWidth="1" min="8" max="8"/>
    <col width="17" customWidth="1" min="9" max="9"/>
    <col width="17" customWidth="1" min="10" max="10"/>
    <col width="21" customWidth="1" min="11" max="11"/>
  </cols>
  <sheetData>
    <row r="1">
      <c r="A1" s="1" t="inlineStr">
        <is>
          <t>Сырые строки (для своей сводной таблицы Excel)</t>
        </is>
      </c>
    </row>
    <row r="2">
      <c r="A2" s="2" t="inlineStr">
        <is>
          <t>Выделите таблицу → Вставка → Сводная таблица. Можно собрать любой срез.</t>
        </is>
      </c>
    </row>
    <row r="4">
      <c r="A4" s="5" t="inlineStr">
        <is>
          <t>Дата</t>
        </is>
      </c>
      <c r="B4" s="5" t="inlineStr">
        <is>
          <t>Месяц</t>
        </is>
      </c>
      <c r="C4" s="5" t="inlineStr">
        <is>
          <t>Номенклатура</t>
        </is>
      </c>
      <c r="D4" s="5" t="inlineStr">
        <is>
          <t>Группа</t>
        </is>
      </c>
      <c r="E4" s="5" t="inlineStr">
        <is>
          <t>Касса</t>
        </is>
      </c>
      <c r="F4" s="5" t="inlineStr">
        <is>
          <t>Сотрудник</t>
        </is>
      </c>
      <c r="G4" s="5" t="inlineStr">
        <is>
          <t>Количество</t>
        </is>
      </c>
      <c r="H4" s="5" t="inlineStr">
        <is>
          <t>Себестоимость</t>
        </is>
      </c>
      <c r="I4" s="5" t="inlineStr">
        <is>
          <t>Продажная сумма</t>
        </is>
      </c>
      <c r="J4" s="5" t="inlineStr">
        <is>
          <t>Валовая прибыль</t>
        </is>
      </c>
      <c r="K4" s="5" t="inlineStr">
        <is>
          <t>Рентабельность %</t>
        </is>
      </c>
    </row>
    <row r="5">
      <c r="A5" s="49" t="n">
        <v>46174</v>
      </c>
      <c r="B5" s="7" t="inlineStr">
        <is>
          <t>2026-06</t>
        </is>
      </c>
      <c r="C5" s="8" t="inlineStr">
        <is>
          <t>Вода 1.5л</t>
        </is>
      </c>
      <c r="D5" s="8" t="inlineStr">
        <is>
          <t>Напитки</t>
        </is>
      </c>
      <c r="E5" s="8" t="inlineStr">
        <is>
          <t>Касса №3 (табак)</t>
        </is>
      </c>
      <c r="F5" s="8" t="inlineStr">
        <is>
          <t>Петренко М.С.</t>
        </is>
      </c>
      <c r="G5" s="50" t="n">
        <v>38.176</v>
      </c>
      <c r="H5" s="10" t="n">
        <v>7393.93</v>
      </c>
      <c r="I5" s="10" t="n">
        <v>8900.73</v>
      </c>
      <c r="J5" s="10" t="n">
        <v>1506.8</v>
      </c>
      <c r="K5" s="51" t="n">
        <v>0.1692894852444687</v>
      </c>
    </row>
    <row r="6">
      <c r="A6" s="52" t="n">
        <v>46174</v>
      </c>
      <c r="B6" s="13" t="inlineStr">
        <is>
          <t>2026-06</t>
        </is>
      </c>
      <c r="C6" s="14" t="inlineStr">
        <is>
          <t>Кофе молотый 250г</t>
        </is>
      </c>
      <c r="D6" s="14" t="inlineStr">
        <is>
          <t>Напитки</t>
        </is>
      </c>
      <c r="E6" s="14" t="inlineStr">
        <is>
          <t>Касса №2 (зал)</t>
        </is>
      </c>
      <c r="F6" s="14" t="inlineStr">
        <is>
          <t>Ковальчук О.В.</t>
        </is>
      </c>
      <c r="G6" s="53" t="n">
        <v>39.42</v>
      </c>
      <c r="H6" s="16" t="n">
        <v>2531.55</v>
      </c>
      <c r="I6" s="16" t="n">
        <v>3666.85</v>
      </c>
      <c r="J6" s="16" t="n">
        <v>1135.3</v>
      </c>
      <c r="K6" s="54" t="n">
        <v>0.3096117921376658</v>
      </c>
    </row>
    <row r="7">
      <c r="A7" s="49" t="n">
        <v>46174</v>
      </c>
      <c r="B7" s="7" t="inlineStr">
        <is>
          <t>2026-06</t>
        </is>
      </c>
      <c r="C7" s="8" t="inlineStr">
        <is>
          <t>Сыр Гауда 200г</t>
        </is>
      </c>
      <c r="D7" s="8" t="inlineStr">
        <is>
          <t>Молочные</t>
        </is>
      </c>
      <c r="E7" s="8" t="inlineStr">
        <is>
          <t>Касса №1 (зал)</t>
        </is>
      </c>
      <c r="F7" s="8" t="inlineStr">
        <is>
          <t>Иванова А.П.</t>
        </is>
      </c>
      <c r="G7" s="50" t="n">
        <v>29.791</v>
      </c>
      <c r="H7" s="10" t="n">
        <v>1785.08</v>
      </c>
      <c r="I7" s="10" t="n">
        <v>2044.85</v>
      </c>
      <c r="J7" s="10" t="n">
        <v>259.77</v>
      </c>
      <c r="K7" s="51" t="n">
        <v>0.1270362129251534</v>
      </c>
    </row>
    <row r="8">
      <c r="A8" s="52" t="n">
        <v>46175</v>
      </c>
      <c r="B8" s="13" t="inlineStr">
        <is>
          <t>2026-06</t>
        </is>
      </c>
      <c r="C8" s="14" t="inlineStr">
        <is>
          <t>Сахар 1кг</t>
        </is>
      </c>
      <c r="D8" s="14" t="inlineStr">
        <is>
          <t>Бакалея</t>
        </is>
      </c>
      <c r="E8" s="14" t="inlineStr">
        <is>
          <t>Касса №3 (табак)</t>
        </is>
      </c>
      <c r="F8" s="14" t="inlineStr">
        <is>
          <t>Петренко М.С.</t>
        </is>
      </c>
      <c r="G8" s="53" t="n">
        <v>2.481</v>
      </c>
      <c r="H8" s="16" t="n">
        <v>270.63</v>
      </c>
      <c r="I8" s="16" t="n">
        <v>409.22</v>
      </c>
      <c r="J8" s="16" t="n">
        <v>138.59</v>
      </c>
      <c r="K8" s="54" t="n">
        <v>0.3386686867699526</v>
      </c>
    </row>
    <row r="9">
      <c r="A9" s="49" t="n">
        <v>46176</v>
      </c>
      <c r="B9" s="7" t="inlineStr">
        <is>
          <t>2026-06</t>
        </is>
      </c>
      <c r="C9" s="8" t="inlineStr">
        <is>
          <t>Масло подсолн. 1л</t>
        </is>
      </c>
      <c r="D9" s="8" t="inlineStr">
        <is>
          <t>Бакалея</t>
        </is>
      </c>
      <c r="E9" s="8" t="inlineStr">
        <is>
          <t>Касса №2 (зал)</t>
        </is>
      </c>
      <c r="F9" s="8" t="inlineStr">
        <is>
          <t>Ковальчук О.В.</t>
        </is>
      </c>
      <c r="G9" s="50" t="n">
        <v>34.285</v>
      </c>
      <c r="H9" s="10" t="n">
        <v>6572.09</v>
      </c>
      <c r="I9" s="10" t="n">
        <v>8271.940000000001</v>
      </c>
      <c r="J9" s="10" t="n">
        <v>1699.85</v>
      </c>
      <c r="K9" s="51" t="n">
        <v>0.2054959296126422</v>
      </c>
    </row>
    <row r="10">
      <c r="A10" s="52" t="n">
        <v>46176</v>
      </c>
      <c r="B10" s="13" t="inlineStr">
        <is>
          <t>2026-06</t>
        </is>
      </c>
      <c r="C10" s="14" t="inlineStr">
        <is>
          <t>Молоко 2.5% 1л</t>
        </is>
      </c>
      <c r="D10" s="14" t="inlineStr">
        <is>
          <t>Молочные</t>
        </is>
      </c>
      <c r="E10" s="14" t="inlineStr">
        <is>
          <t>Касса №1 (зал)</t>
        </is>
      </c>
      <c r="F10" s="14" t="inlineStr">
        <is>
          <t>Ковальчук О.В.</t>
        </is>
      </c>
      <c r="G10" s="53" t="n">
        <v>28.46</v>
      </c>
      <c r="H10" s="16" t="n">
        <v>582.86</v>
      </c>
      <c r="I10" s="16" t="n">
        <v>648.03</v>
      </c>
      <c r="J10" s="16" t="n">
        <v>65.17</v>
      </c>
      <c r="K10" s="54" t="n">
        <v>0.1005663318056263</v>
      </c>
    </row>
    <row r="11">
      <c r="A11" s="49" t="n">
        <v>46177</v>
      </c>
      <c r="B11" s="7" t="inlineStr">
        <is>
          <t>2026-06</t>
        </is>
      </c>
      <c r="C11" s="8" t="inlineStr">
        <is>
          <t>Кофе молотый 250г</t>
        </is>
      </c>
      <c r="D11" s="8" t="inlineStr">
        <is>
          <t>Напитки</t>
        </is>
      </c>
      <c r="E11" s="8" t="inlineStr">
        <is>
          <t>Касса №1 (зал)</t>
        </is>
      </c>
      <c r="F11" s="8" t="inlineStr">
        <is>
          <t>Иванова А.П.</t>
        </is>
      </c>
      <c r="G11" s="50" t="n">
        <v>37.693</v>
      </c>
      <c r="H11" s="10" t="n">
        <v>4853.73</v>
      </c>
      <c r="I11" s="10" t="n">
        <v>6562.73</v>
      </c>
      <c r="J11" s="10" t="n">
        <v>1709</v>
      </c>
      <c r="K11" s="51" t="n">
        <v>0.2604099208713447</v>
      </c>
    </row>
    <row r="12">
      <c r="A12" s="52" t="n">
        <v>46177</v>
      </c>
      <c r="B12" s="13" t="inlineStr">
        <is>
          <t>2026-06</t>
        </is>
      </c>
      <c r="C12" s="14" t="inlineStr">
        <is>
          <t>Сахар 1кг</t>
        </is>
      </c>
      <c r="D12" s="14" t="inlineStr">
        <is>
          <t>Бакалея</t>
        </is>
      </c>
      <c r="E12" s="14" t="inlineStr">
        <is>
          <t>Касса №3 (табак)</t>
        </is>
      </c>
      <c r="F12" s="14" t="inlineStr">
        <is>
          <t>Ковальчук О.В.</t>
        </is>
      </c>
      <c r="G12" s="53" t="n">
        <v>4.163</v>
      </c>
      <c r="H12" s="16" t="n">
        <v>118.65</v>
      </c>
      <c r="I12" s="16" t="n">
        <v>175.39</v>
      </c>
      <c r="J12" s="16" t="n">
        <v>56.74</v>
      </c>
      <c r="K12" s="54" t="n">
        <v>0.3235076116084156</v>
      </c>
    </row>
    <row r="13">
      <c r="A13" s="49" t="n">
        <v>46177</v>
      </c>
      <c r="B13" s="7" t="inlineStr">
        <is>
          <t>2026-06</t>
        </is>
      </c>
      <c r="C13" s="8" t="inlineStr">
        <is>
          <t>Шоколад 90г</t>
        </is>
      </c>
      <c r="D13" s="8" t="inlineStr">
        <is>
          <t>Кондитерка</t>
        </is>
      </c>
      <c r="E13" s="8" t="inlineStr">
        <is>
          <t>Касса №1 (зал)</t>
        </is>
      </c>
      <c r="F13" s="8" t="inlineStr">
        <is>
          <t>Петренко М.С.</t>
        </is>
      </c>
      <c r="G13" s="50" t="n">
        <v>2.498</v>
      </c>
      <c r="H13" s="10" t="n">
        <v>549.1900000000001</v>
      </c>
      <c r="I13" s="10" t="n">
        <v>808.9</v>
      </c>
      <c r="J13" s="10" t="n">
        <v>259.71</v>
      </c>
      <c r="K13" s="51" t="n">
        <v>0.3210656447026826</v>
      </c>
    </row>
    <row r="14">
      <c r="A14" s="52" t="n">
        <v>46179</v>
      </c>
      <c r="B14" s="13" t="inlineStr">
        <is>
          <t>2026-06</t>
        </is>
      </c>
      <c r="C14" s="14" t="inlineStr">
        <is>
          <t>Бананы кг</t>
        </is>
      </c>
      <c r="D14" s="14" t="inlineStr">
        <is>
          <t>Овощи-фрукты</t>
        </is>
      </c>
      <c r="E14" s="14" t="inlineStr">
        <is>
          <t>Касса №3 (табак)</t>
        </is>
      </c>
      <c r="F14" s="14" t="inlineStr">
        <is>
          <t>Петренко М.С.</t>
        </is>
      </c>
      <c r="G14" s="53" t="n">
        <v>32.262</v>
      </c>
      <c r="H14" s="16" t="n">
        <v>5017.71</v>
      </c>
      <c r="I14" s="16" t="n">
        <v>6514.67</v>
      </c>
      <c r="J14" s="16" t="n">
        <v>1496.96</v>
      </c>
      <c r="K14" s="54" t="n">
        <v>0.229782936050483</v>
      </c>
    </row>
    <row r="15">
      <c r="A15" s="49" t="n">
        <v>46179</v>
      </c>
      <c r="B15" s="7" t="inlineStr">
        <is>
          <t>2026-06</t>
        </is>
      </c>
      <c r="C15" s="8" t="inlineStr">
        <is>
          <t>Картофель кг</t>
        </is>
      </c>
      <c r="D15" s="8" t="inlineStr">
        <is>
          <t>Овощи-фрукты</t>
        </is>
      </c>
      <c r="E15" s="8" t="inlineStr">
        <is>
          <t>Касса №2 (зал)</t>
        </is>
      </c>
      <c r="F15" s="8" t="inlineStr">
        <is>
          <t>Петренко М.С.</t>
        </is>
      </c>
      <c r="G15" s="50" t="n">
        <v>31.601</v>
      </c>
      <c r="H15" s="10" t="n">
        <v>977.1</v>
      </c>
      <c r="I15" s="10" t="n">
        <v>1455.86</v>
      </c>
      <c r="J15" s="10" t="n">
        <v>478.76</v>
      </c>
      <c r="K15" s="51" t="n">
        <v>0.3288503015399832</v>
      </c>
    </row>
    <row r="16">
      <c r="A16" s="52" t="n">
        <v>46179</v>
      </c>
      <c r="B16" s="13" t="inlineStr">
        <is>
          <t>2026-06</t>
        </is>
      </c>
      <c r="C16" s="14" t="inlineStr">
        <is>
          <t>Картофель кг</t>
        </is>
      </c>
      <c r="D16" s="14" t="inlineStr">
        <is>
          <t>Овощи-фрукты</t>
        </is>
      </c>
      <c r="E16" s="14" t="inlineStr">
        <is>
          <t>Касса №3 (табак)</t>
        </is>
      </c>
      <c r="F16" s="14" t="inlineStr">
        <is>
          <t>Сидоренко Т.И.</t>
        </is>
      </c>
      <c r="G16" s="53" t="n">
        <v>23.433</v>
      </c>
      <c r="H16" s="16" t="n">
        <v>5073.48</v>
      </c>
      <c r="I16" s="16" t="n">
        <v>5570.49</v>
      </c>
      <c r="J16" s="16" t="n">
        <v>497.01</v>
      </c>
      <c r="K16" s="54" t="n">
        <v>0.08922195354448173</v>
      </c>
    </row>
    <row r="17">
      <c r="A17" s="49" t="n">
        <v>46179</v>
      </c>
      <c r="B17" s="7" t="inlineStr">
        <is>
          <t>2026-06</t>
        </is>
      </c>
      <c r="C17" s="8" t="inlineStr">
        <is>
          <t>Масло подсолн. 1л</t>
        </is>
      </c>
      <c r="D17" s="8" t="inlineStr">
        <is>
          <t>Бакалея</t>
        </is>
      </c>
      <c r="E17" s="8" t="inlineStr">
        <is>
          <t>Касса №3 (табак)</t>
        </is>
      </c>
      <c r="F17" s="8" t="inlineStr">
        <is>
          <t>Иванова А.П.</t>
        </is>
      </c>
      <c r="G17" s="50" t="n">
        <v>17.808</v>
      </c>
      <c r="H17" s="10" t="n">
        <v>2193.23</v>
      </c>
      <c r="I17" s="10" t="n">
        <v>2680.46</v>
      </c>
      <c r="J17" s="10" t="n">
        <v>487.23</v>
      </c>
      <c r="K17" s="51" t="n">
        <v>0.1817710392992248</v>
      </c>
    </row>
    <row r="18">
      <c r="A18" s="52" t="n">
        <v>46180</v>
      </c>
      <c r="B18" s="13" t="inlineStr">
        <is>
          <t>2026-06</t>
        </is>
      </c>
      <c r="C18" s="14" t="inlineStr">
        <is>
          <t>Колбаса варёная 400г</t>
        </is>
      </c>
      <c r="D18" s="14" t="inlineStr">
        <is>
          <t>Мясо</t>
        </is>
      </c>
      <c r="E18" s="14" t="inlineStr">
        <is>
          <t>Касса №3 (табак)</t>
        </is>
      </c>
      <c r="F18" s="14" t="inlineStr">
        <is>
          <t>Иванова А.П.</t>
        </is>
      </c>
      <c r="G18" s="53" t="n">
        <v>12.22</v>
      </c>
      <c r="H18" s="16" t="n">
        <v>2607.38</v>
      </c>
      <c r="I18" s="16" t="n">
        <v>3525.71</v>
      </c>
      <c r="J18" s="16" t="n">
        <v>918.33</v>
      </c>
      <c r="K18" s="54" t="n">
        <v>0.2604666861426493</v>
      </c>
    </row>
    <row r="19">
      <c r="A19" s="49" t="n">
        <v>46180</v>
      </c>
      <c r="B19" s="7" t="inlineStr">
        <is>
          <t>2026-06</t>
        </is>
      </c>
      <c r="C19" s="8" t="inlineStr">
        <is>
          <t>Печенье 300г</t>
        </is>
      </c>
      <c r="D19" s="8" t="inlineStr">
        <is>
          <t>Кондитерка</t>
        </is>
      </c>
      <c r="E19" s="8" t="inlineStr">
        <is>
          <t>Касса №3 (табак)</t>
        </is>
      </c>
      <c r="F19" s="8" t="inlineStr">
        <is>
          <t>Петренко М.С.</t>
        </is>
      </c>
      <c r="G19" s="50" t="n">
        <v>10.562</v>
      </c>
      <c r="H19" s="10" t="n">
        <v>1671.54</v>
      </c>
      <c r="I19" s="10" t="n">
        <v>1806.63</v>
      </c>
      <c r="J19" s="10" t="n">
        <v>135.09</v>
      </c>
      <c r="K19" s="51" t="n">
        <v>0.07477458029591007</v>
      </c>
    </row>
    <row r="20">
      <c r="A20" s="52" t="n">
        <v>46180</v>
      </c>
      <c r="B20" s="13" t="inlineStr">
        <is>
          <t>2026-06</t>
        </is>
      </c>
      <c r="C20" s="14" t="inlineStr">
        <is>
          <t>Сахар 1кг</t>
        </is>
      </c>
      <c r="D20" s="14" t="inlineStr">
        <is>
          <t>Бакалея</t>
        </is>
      </c>
      <c r="E20" s="14" t="inlineStr">
        <is>
          <t>Касса №2 (зал)</t>
        </is>
      </c>
      <c r="F20" s="14" t="inlineStr">
        <is>
          <t>Сидоренко Т.И.</t>
        </is>
      </c>
      <c r="G20" s="53" t="n">
        <v>18.461</v>
      </c>
      <c r="H20" s="16" t="n">
        <v>1468.57</v>
      </c>
      <c r="I20" s="16" t="n">
        <v>2193.17</v>
      </c>
      <c r="J20" s="16" t="n">
        <v>724.6</v>
      </c>
      <c r="K20" s="54" t="n">
        <v>0.3303893451032068</v>
      </c>
    </row>
    <row r="21">
      <c r="A21" s="49" t="n">
        <v>46180</v>
      </c>
      <c r="B21" s="7" t="inlineStr">
        <is>
          <t>2026-06</t>
        </is>
      </c>
      <c r="C21" s="8" t="inlineStr">
        <is>
          <t>Хлеб белый 500г</t>
        </is>
      </c>
      <c r="D21" s="8" t="inlineStr">
        <is>
          <t>Хлеб</t>
        </is>
      </c>
      <c r="E21" s="8" t="inlineStr">
        <is>
          <t>Касса №3 (табак)</t>
        </is>
      </c>
      <c r="F21" s="8" t="inlineStr">
        <is>
          <t>Иванова А.П.</t>
        </is>
      </c>
      <c r="G21" s="50" t="n">
        <v>33.399</v>
      </c>
      <c r="H21" s="10" t="n">
        <v>3024.95</v>
      </c>
      <c r="I21" s="10" t="n">
        <v>4361.24</v>
      </c>
      <c r="J21" s="10" t="n">
        <v>1336.29</v>
      </c>
      <c r="K21" s="51" t="n">
        <v>0.3064013904302446</v>
      </c>
    </row>
    <row r="22">
      <c r="A22" s="52" t="n">
        <v>46180</v>
      </c>
      <c r="B22" s="13" t="inlineStr">
        <is>
          <t>2026-06</t>
        </is>
      </c>
      <c r="C22" s="14" t="inlineStr">
        <is>
          <t>Шоколад 90г</t>
        </is>
      </c>
      <c r="D22" s="14" t="inlineStr">
        <is>
          <t>Кондитерка</t>
        </is>
      </c>
      <c r="E22" s="14" t="inlineStr">
        <is>
          <t>Касса №2 (зал)</t>
        </is>
      </c>
      <c r="F22" s="14" t="inlineStr">
        <is>
          <t>Ковальчук О.В.</t>
        </is>
      </c>
      <c r="G22" s="53" t="n">
        <v>28.783</v>
      </c>
      <c r="H22" s="16" t="n">
        <v>4509.72</v>
      </c>
      <c r="I22" s="16" t="n">
        <v>5759.77</v>
      </c>
      <c r="J22" s="16" t="n">
        <v>1250.05</v>
      </c>
      <c r="K22" s="54" t="n">
        <v>0.2170312356222557</v>
      </c>
    </row>
    <row r="23">
      <c r="A23" s="49" t="n">
        <v>46181</v>
      </c>
      <c r="B23" s="7" t="inlineStr">
        <is>
          <t>2026-06</t>
        </is>
      </c>
      <c r="C23" s="8" t="inlineStr">
        <is>
          <t>Колбаса варёная 400г</t>
        </is>
      </c>
      <c r="D23" s="8" t="inlineStr">
        <is>
          <t>Мясо</t>
        </is>
      </c>
      <c r="E23" s="8" t="inlineStr">
        <is>
          <t>Касса №2 (зал)</t>
        </is>
      </c>
      <c r="F23" s="8" t="inlineStr">
        <is>
          <t>Сидоренко Т.И.</t>
        </is>
      </c>
      <c r="G23" s="50" t="n">
        <v>29.927</v>
      </c>
      <c r="H23" s="10" t="n">
        <v>3658.88</v>
      </c>
      <c r="I23" s="10" t="n">
        <v>5236.33</v>
      </c>
      <c r="J23" s="10" t="n">
        <v>1577.45</v>
      </c>
      <c r="K23" s="51" t="n">
        <v>0.3012510670641461</v>
      </c>
    </row>
    <row r="24">
      <c r="A24" s="52" t="n">
        <v>46181</v>
      </c>
      <c r="B24" s="13" t="inlineStr">
        <is>
          <t>2026-06</t>
        </is>
      </c>
      <c r="C24" s="14" t="inlineStr">
        <is>
          <t>Кофе молотый 250г</t>
        </is>
      </c>
      <c r="D24" s="14" t="inlineStr">
        <is>
          <t>Напитки</t>
        </is>
      </c>
      <c r="E24" s="14" t="inlineStr">
        <is>
          <t>Касса №1 (зал)</t>
        </is>
      </c>
      <c r="F24" s="14" t="inlineStr">
        <is>
          <t>Сидоренко Т.И.</t>
        </is>
      </c>
      <c r="G24" s="53" t="n">
        <v>6.329</v>
      </c>
      <c r="H24" s="16" t="n">
        <v>973.27</v>
      </c>
      <c r="I24" s="16" t="n">
        <v>1459.47</v>
      </c>
      <c r="J24" s="16" t="n">
        <v>486.2</v>
      </c>
      <c r="K24" s="54" t="n">
        <v>0.3331346310647015</v>
      </c>
    </row>
    <row r="25">
      <c r="A25" s="49" t="n">
        <v>46181</v>
      </c>
      <c r="B25" s="7" t="inlineStr">
        <is>
          <t>2026-06</t>
        </is>
      </c>
      <c r="C25" s="8" t="inlineStr">
        <is>
          <t>Рис 1кг</t>
        </is>
      </c>
      <c r="D25" s="8" t="inlineStr">
        <is>
          <t>Бакалея</t>
        </is>
      </c>
      <c r="E25" s="8" t="inlineStr">
        <is>
          <t>Касса №1 (зал)</t>
        </is>
      </c>
      <c r="F25" s="8" t="inlineStr">
        <is>
          <t>Иванова А.П.</t>
        </is>
      </c>
      <c r="G25" s="50" t="n">
        <v>39.894</v>
      </c>
      <c r="H25" s="10" t="n">
        <v>1489.24</v>
      </c>
      <c r="I25" s="10" t="n">
        <v>1954.01</v>
      </c>
      <c r="J25" s="10" t="n">
        <v>464.77</v>
      </c>
      <c r="K25" s="51" t="n">
        <v>0.2378544633855507</v>
      </c>
    </row>
    <row r="26">
      <c r="A26" s="52" t="n">
        <v>46181</v>
      </c>
      <c r="B26" s="13" t="inlineStr">
        <is>
          <t>2026-06</t>
        </is>
      </c>
      <c r="C26" s="14" t="inlineStr">
        <is>
          <t>Сыр Гауда 200г</t>
        </is>
      </c>
      <c r="D26" s="14" t="inlineStr">
        <is>
          <t>Молочные</t>
        </is>
      </c>
      <c r="E26" s="14" t="inlineStr">
        <is>
          <t>Касса №1 (зал)</t>
        </is>
      </c>
      <c r="F26" s="14" t="inlineStr">
        <is>
          <t>Петренко М.С.</t>
        </is>
      </c>
      <c r="G26" s="53" t="n">
        <v>9.375999999999999</v>
      </c>
      <c r="H26" s="16" t="n">
        <v>746.99</v>
      </c>
      <c r="I26" s="16" t="n">
        <v>1013.26</v>
      </c>
      <c r="J26" s="16" t="n">
        <v>266.27</v>
      </c>
      <c r="K26" s="54" t="n">
        <v>0.2627854647375797</v>
      </c>
    </row>
    <row r="27">
      <c r="A27" s="49" t="n">
        <v>46181</v>
      </c>
      <c r="B27" s="7" t="inlineStr">
        <is>
          <t>2026-06</t>
        </is>
      </c>
      <c r="C27" s="8" t="inlineStr">
        <is>
          <t>Хлеб белый 500г</t>
        </is>
      </c>
      <c r="D27" s="8" t="inlineStr">
        <is>
          <t>Хлеб</t>
        </is>
      </c>
      <c r="E27" s="8" t="inlineStr">
        <is>
          <t>Касса №2 (зал)</t>
        </is>
      </c>
      <c r="F27" s="8" t="inlineStr">
        <is>
          <t>Иванова А.П.</t>
        </is>
      </c>
      <c r="G27" s="50" t="n">
        <v>35.181</v>
      </c>
      <c r="H27" s="10" t="n">
        <v>7344.03</v>
      </c>
      <c r="I27" s="10" t="n">
        <v>8227.08</v>
      </c>
      <c r="J27" s="10" t="n">
        <v>883.05</v>
      </c>
      <c r="K27" s="51" t="n">
        <v>0.1073345585554048</v>
      </c>
    </row>
    <row r="28">
      <c r="A28" s="52" t="n">
        <v>46181</v>
      </c>
      <c r="B28" s="13" t="inlineStr">
        <is>
          <t>2026-06</t>
        </is>
      </c>
      <c r="C28" s="14" t="inlineStr">
        <is>
          <t>Шоколад 90г</t>
        </is>
      </c>
      <c r="D28" s="14" t="inlineStr">
        <is>
          <t>Кондитерка</t>
        </is>
      </c>
      <c r="E28" s="14" t="inlineStr">
        <is>
          <t>Касса №1 (зал)</t>
        </is>
      </c>
      <c r="F28" s="14" t="inlineStr">
        <is>
          <t>Иванова А.П.</t>
        </is>
      </c>
      <c r="G28" s="53" t="n">
        <v>27.542</v>
      </c>
      <c r="H28" s="16" t="n">
        <v>5141.54</v>
      </c>
      <c r="I28" s="16" t="n">
        <v>7428.08</v>
      </c>
      <c r="J28" s="16" t="n">
        <v>2286.54</v>
      </c>
      <c r="K28" s="54" t="n">
        <v>0.3078238252684408</v>
      </c>
    </row>
    <row r="29">
      <c r="A29" s="49" t="n">
        <v>46182</v>
      </c>
      <c r="B29" s="7" t="inlineStr">
        <is>
          <t>2026-06</t>
        </is>
      </c>
      <c r="C29" s="8" t="inlineStr">
        <is>
          <t>Бананы кг</t>
        </is>
      </c>
      <c r="D29" s="8" t="inlineStr">
        <is>
          <t>Овощи-фрукты</t>
        </is>
      </c>
      <c r="E29" s="8" t="inlineStr">
        <is>
          <t>Касса №2 (зал)</t>
        </is>
      </c>
      <c r="F29" s="8" t="inlineStr">
        <is>
          <t>Иванова А.П.</t>
        </is>
      </c>
      <c r="G29" s="50" t="n">
        <v>16.134</v>
      </c>
      <c r="H29" s="10" t="n">
        <v>2426.55</v>
      </c>
      <c r="I29" s="10" t="n">
        <v>2962.85</v>
      </c>
      <c r="J29" s="10" t="n">
        <v>536.3</v>
      </c>
      <c r="K29" s="51" t="n">
        <v>0.1810081509357544</v>
      </c>
    </row>
    <row r="30">
      <c r="A30" s="52" t="n">
        <v>46182</v>
      </c>
      <c r="B30" s="13" t="inlineStr">
        <is>
          <t>2026-06</t>
        </is>
      </c>
      <c r="C30" s="14" t="inlineStr">
        <is>
          <t>Сигареты премиум</t>
        </is>
      </c>
      <c r="D30" s="14" t="inlineStr">
        <is>
          <t>Табак</t>
        </is>
      </c>
      <c r="E30" s="14" t="inlineStr">
        <is>
          <t>Касса №1 (зал)</t>
        </is>
      </c>
      <c r="F30" s="14" t="inlineStr">
        <is>
          <t>Ковальчук О.В.</t>
        </is>
      </c>
      <c r="G30" s="53" t="n">
        <v>5.732</v>
      </c>
      <c r="H30" s="16" t="n">
        <v>469.97</v>
      </c>
      <c r="I30" s="16" t="n">
        <v>522.76</v>
      </c>
      <c r="J30" s="16" t="n">
        <v>52.79</v>
      </c>
      <c r="K30" s="54" t="n">
        <v>0.1009832427882776</v>
      </c>
    </row>
    <row r="31">
      <c r="A31" s="49" t="n">
        <v>46183</v>
      </c>
      <c r="B31" s="7" t="inlineStr">
        <is>
          <t>2026-06</t>
        </is>
      </c>
      <c r="C31" s="8" t="inlineStr">
        <is>
          <t>Хлеб белый 500г</t>
        </is>
      </c>
      <c r="D31" s="8" t="inlineStr">
        <is>
          <t>Хлеб</t>
        </is>
      </c>
      <c r="E31" s="8" t="inlineStr">
        <is>
          <t>Касса №1 (зал)</t>
        </is>
      </c>
      <c r="F31" s="8" t="inlineStr">
        <is>
          <t>Ковальчук О.В.</t>
        </is>
      </c>
      <c r="G31" s="50" t="n">
        <v>14.904</v>
      </c>
      <c r="H31" s="10" t="n">
        <v>3067.39</v>
      </c>
      <c r="I31" s="10" t="n">
        <v>4714.43</v>
      </c>
      <c r="J31" s="10" t="n">
        <v>1647.04</v>
      </c>
      <c r="K31" s="51" t="n">
        <v>0.349361428635063</v>
      </c>
    </row>
    <row r="32">
      <c r="A32" s="52" t="n">
        <v>46183</v>
      </c>
      <c r="B32" s="13" t="inlineStr">
        <is>
          <t>2026-06</t>
        </is>
      </c>
      <c r="C32" s="14" t="inlineStr">
        <is>
          <t>Шоколад 90г</t>
        </is>
      </c>
      <c r="D32" s="14" t="inlineStr">
        <is>
          <t>Кондитерка</t>
        </is>
      </c>
      <c r="E32" s="14" t="inlineStr">
        <is>
          <t>Касса №2 (зал)</t>
        </is>
      </c>
      <c r="F32" s="14" t="inlineStr">
        <is>
          <t>Иванова А.П.</t>
        </is>
      </c>
      <c r="G32" s="53" t="n">
        <v>37.304</v>
      </c>
      <c r="H32" s="16" t="n">
        <v>1117.63</v>
      </c>
      <c r="I32" s="16" t="n">
        <v>1668.23</v>
      </c>
      <c r="J32" s="16" t="n">
        <v>550.6</v>
      </c>
      <c r="K32" s="54" t="n">
        <v>0.3300504127128753</v>
      </c>
    </row>
    <row r="33">
      <c r="A33" s="49" t="n">
        <v>46183</v>
      </c>
      <c r="B33" s="7" t="inlineStr">
        <is>
          <t>2026-06</t>
        </is>
      </c>
      <c r="C33" s="8" t="inlineStr">
        <is>
          <t>Яйца С1 10шт</t>
        </is>
      </c>
      <c r="D33" s="8" t="inlineStr">
        <is>
          <t>Яйца</t>
        </is>
      </c>
      <c r="E33" s="8" t="inlineStr">
        <is>
          <t>Касса №1 (зал)</t>
        </is>
      </c>
      <c r="F33" s="8" t="inlineStr">
        <is>
          <t>Ковальчук О.В.</t>
        </is>
      </c>
      <c r="G33" s="50" t="n">
        <v>20.86</v>
      </c>
      <c r="H33" s="10" t="n">
        <v>2965.87</v>
      </c>
      <c r="I33" s="10" t="n">
        <v>3670.32</v>
      </c>
      <c r="J33" s="10" t="n">
        <v>704.45</v>
      </c>
      <c r="K33" s="51" t="n">
        <v>0.19193149371172</v>
      </c>
    </row>
    <row r="34">
      <c r="A34" s="52" t="n">
        <v>46184</v>
      </c>
      <c r="B34" s="13" t="inlineStr">
        <is>
          <t>2026-06</t>
        </is>
      </c>
      <c r="C34" s="14" t="inlineStr">
        <is>
          <t>Йогурт 150г</t>
        </is>
      </c>
      <c r="D34" s="14" t="inlineStr">
        <is>
          <t>Молочные</t>
        </is>
      </c>
      <c r="E34" s="14" t="inlineStr">
        <is>
          <t>Касса №2 (зал)</t>
        </is>
      </c>
      <c r="F34" s="14" t="inlineStr">
        <is>
          <t>Петренко М.С.</t>
        </is>
      </c>
      <c r="G34" s="53" t="n">
        <v>19.8</v>
      </c>
      <c r="H34" s="16" t="n">
        <v>628.0599999999999</v>
      </c>
      <c r="I34" s="16" t="n">
        <v>785.47</v>
      </c>
      <c r="J34" s="16" t="n">
        <v>157.41</v>
      </c>
      <c r="K34" s="54" t="n">
        <v>0.2004023068990541</v>
      </c>
    </row>
    <row r="35">
      <c r="A35" s="49" t="n">
        <v>46184</v>
      </c>
      <c r="B35" s="7" t="inlineStr">
        <is>
          <t>2026-06</t>
        </is>
      </c>
      <c r="C35" s="8" t="inlineStr">
        <is>
          <t>Картофель кг</t>
        </is>
      </c>
      <c r="D35" s="8" t="inlineStr">
        <is>
          <t>Овощи-фрукты</t>
        </is>
      </c>
      <c r="E35" s="8" t="inlineStr">
        <is>
          <t>Касса №1 (зал)</t>
        </is>
      </c>
      <c r="F35" s="8" t="inlineStr">
        <is>
          <t>Сидоренко Т.И.</t>
        </is>
      </c>
      <c r="G35" s="50" t="n">
        <v>13.129</v>
      </c>
      <c r="H35" s="10" t="n">
        <v>1608.43</v>
      </c>
      <c r="I35" s="10" t="n">
        <v>1841.74</v>
      </c>
      <c r="J35" s="10" t="n">
        <v>233.31</v>
      </c>
      <c r="K35" s="51" t="n">
        <v>0.1266791186595285</v>
      </c>
    </row>
    <row r="36">
      <c r="A36" s="52" t="n">
        <v>46185</v>
      </c>
      <c r="B36" s="13" t="inlineStr">
        <is>
          <t>2026-06</t>
        </is>
      </c>
      <c r="C36" s="14" t="inlineStr">
        <is>
          <t>Колбаса варёная 400г</t>
        </is>
      </c>
      <c r="D36" s="14" t="inlineStr">
        <is>
          <t>Мясо</t>
        </is>
      </c>
      <c r="E36" s="14" t="inlineStr">
        <is>
          <t>Касса №3 (табак)</t>
        </is>
      </c>
      <c r="F36" s="14" t="inlineStr">
        <is>
          <t>Иванова А.П.</t>
        </is>
      </c>
      <c r="G36" s="53" t="n">
        <v>30.619</v>
      </c>
      <c r="H36" s="16" t="n">
        <v>3746.23</v>
      </c>
      <c r="I36" s="16" t="n">
        <v>5416.81</v>
      </c>
      <c r="J36" s="16" t="n">
        <v>1670.58</v>
      </c>
      <c r="K36" s="54" t="n">
        <v>0.3084066083174414</v>
      </c>
    </row>
    <row r="37">
      <c r="A37" s="49" t="n">
        <v>46185</v>
      </c>
      <c r="B37" s="7" t="inlineStr">
        <is>
          <t>2026-06</t>
        </is>
      </c>
      <c r="C37" s="8" t="inlineStr">
        <is>
          <t>Курица охлажд. кг</t>
        </is>
      </c>
      <c r="D37" s="8" t="inlineStr">
        <is>
          <t>Мясо</t>
        </is>
      </c>
      <c r="E37" s="8" t="inlineStr">
        <is>
          <t>Касса №3 (табак)</t>
        </is>
      </c>
      <c r="F37" s="8" t="inlineStr">
        <is>
          <t>Иванова А.П.</t>
        </is>
      </c>
      <c r="G37" s="50" t="n">
        <v>14.533</v>
      </c>
      <c r="H37" s="10" t="n">
        <v>2181.11</v>
      </c>
      <c r="I37" s="10" t="n">
        <v>3075.04</v>
      </c>
      <c r="J37" s="10" t="n">
        <v>893.9299999999999</v>
      </c>
      <c r="K37" s="51" t="n">
        <v>0.290705161558874</v>
      </c>
    </row>
    <row r="38">
      <c r="A38" s="52" t="n">
        <v>46186</v>
      </c>
      <c r="B38" s="13" t="inlineStr">
        <is>
          <t>2026-06</t>
        </is>
      </c>
      <c r="C38" s="14" t="inlineStr">
        <is>
          <t>Масло подсолн. 1л</t>
        </is>
      </c>
      <c r="D38" s="14" t="inlineStr">
        <is>
          <t>Бакалея</t>
        </is>
      </c>
      <c r="E38" s="14" t="inlineStr">
        <is>
          <t>Касса №3 (табак)</t>
        </is>
      </c>
      <c r="F38" s="14" t="inlineStr">
        <is>
          <t>Сидоренко Т.И.</t>
        </is>
      </c>
      <c r="G38" s="53" t="n">
        <v>39.808</v>
      </c>
      <c r="H38" s="16" t="n">
        <v>5802.81</v>
      </c>
      <c r="I38" s="16" t="n">
        <v>7462.01</v>
      </c>
      <c r="J38" s="16" t="n">
        <v>1659.2</v>
      </c>
      <c r="K38" s="54" t="n">
        <v>0.2223529585192194</v>
      </c>
    </row>
    <row r="39">
      <c r="A39" s="49" t="n">
        <v>46186</v>
      </c>
      <c r="B39" s="7" t="inlineStr">
        <is>
          <t>2026-06</t>
        </is>
      </c>
      <c r="C39" s="8" t="inlineStr">
        <is>
          <t>Печенье 300г</t>
        </is>
      </c>
      <c r="D39" s="8" t="inlineStr">
        <is>
          <t>Кондитерка</t>
        </is>
      </c>
      <c r="E39" s="8" t="inlineStr">
        <is>
          <t>Касса №2 (зал)</t>
        </is>
      </c>
      <c r="F39" s="8" t="inlineStr">
        <is>
          <t>Сидоренко Т.И.</t>
        </is>
      </c>
      <c r="G39" s="50" t="n">
        <v>19.341</v>
      </c>
      <c r="H39" s="10" t="n">
        <v>4020.22</v>
      </c>
      <c r="I39" s="10" t="n">
        <v>4906.04</v>
      </c>
      <c r="J39" s="10" t="n">
        <v>885.8200000000001</v>
      </c>
      <c r="K39" s="51" t="n">
        <v>0.1805570276638593</v>
      </c>
    </row>
    <row r="40">
      <c r="A40" s="52" t="n">
        <v>46186</v>
      </c>
      <c r="B40" s="13" t="inlineStr">
        <is>
          <t>2026-06</t>
        </is>
      </c>
      <c r="C40" s="14" t="inlineStr">
        <is>
          <t>Сахар 1кг</t>
        </is>
      </c>
      <c r="D40" s="14" t="inlineStr">
        <is>
          <t>Бакалея</t>
        </is>
      </c>
      <c r="E40" s="14" t="inlineStr">
        <is>
          <t>Касса №3 (табак)</t>
        </is>
      </c>
      <c r="F40" s="14" t="inlineStr">
        <is>
          <t>Ковальчук О.В.</t>
        </is>
      </c>
      <c r="G40" s="53" t="n">
        <v>11.076</v>
      </c>
      <c r="H40" s="16" t="n">
        <v>584.04</v>
      </c>
      <c r="I40" s="16" t="n">
        <v>889.62</v>
      </c>
      <c r="J40" s="16" t="n">
        <v>305.58</v>
      </c>
      <c r="K40" s="54" t="n">
        <v>0.3434949753827476</v>
      </c>
    </row>
    <row r="41">
      <c r="A41" s="49" t="n">
        <v>46186</v>
      </c>
      <c r="B41" s="7" t="inlineStr">
        <is>
          <t>2026-06</t>
        </is>
      </c>
      <c r="C41" s="8" t="inlineStr">
        <is>
          <t>Сигареты премиум</t>
        </is>
      </c>
      <c r="D41" s="8" t="inlineStr">
        <is>
          <t>Табак</t>
        </is>
      </c>
      <c r="E41" s="8" t="inlineStr">
        <is>
          <t>Касса №1 (зал)</t>
        </is>
      </c>
      <c r="F41" s="8" t="inlineStr">
        <is>
          <t>Иванова А.П.</t>
        </is>
      </c>
      <c r="G41" s="50" t="n">
        <v>27.341</v>
      </c>
      <c r="H41" s="10" t="n">
        <v>5108.94</v>
      </c>
      <c r="I41" s="10" t="n">
        <v>6312.76</v>
      </c>
      <c r="J41" s="10" t="n">
        <v>1203.82</v>
      </c>
      <c r="K41" s="51" t="n">
        <v>0.1906963039938157</v>
      </c>
    </row>
    <row r="42">
      <c r="A42" s="52" t="n">
        <v>46186</v>
      </c>
      <c r="B42" s="13" t="inlineStr">
        <is>
          <t>2026-06</t>
        </is>
      </c>
      <c r="C42" s="14" t="inlineStr">
        <is>
          <t>Хлеб белый 500г</t>
        </is>
      </c>
      <c r="D42" s="14" t="inlineStr">
        <is>
          <t>Хлеб</t>
        </is>
      </c>
      <c r="E42" s="14" t="inlineStr">
        <is>
          <t>Касса №1 (зал)</t>
        </is>
      </c>
      <c r="F42" s="14" t="inlineStr">
        <is>
          <t>Петренко М.С.</t>
        </is>
      </c>
      <c r="G42" s="53" t="n">
        <v>29.264</v>
      </c>
      <c r="H42" s="16" t="n">
        <v>5201.09</v>
      </c>
      <c r="I42" s="16" t="n">
        <v>5884.41</v>
      </c>
      <c r="J42" s="16" t="n">
        <v>683.3200000000001</v>
      </c>
      <c r="K42" s="54" t="n">
        <v>0.1161237915101089</v>
      </c>
    </row>
    <row r="43">
      <c r="A43" s="49" t="n">
        <v>46187</v>
      </c>
      <c r="B43" s="7" t="inlineStr">
        <is>
          <t>2026-06</t>
        </is>
      </c>
      <c r="C43" s="8" t="inlineStr">
        <is>
          <t>Вода 1.5л</t>
        </is>
      </c>
      <c r="D43" s="8" t="inlineStr">
        <is>
          <t>Напитки</t>
        </is>
      </c>
      <c r="E43" s="8" t="inlineStr">
        <is>
          <t>Касса №2 (зал)</t>
        </is>
      </c>
      <c r="F43" s="8" t="inlineStr">
        <is>
          <t>Сидоренко Т.И.</t>
        </is>
      </c>
      <c r="G43" s="50" t="n">
        <v>35.502</v>
      </c>
      <c r="H43" s="10" t="n">
        <v>4616.68</v>
      </c>
      <c r="I43" s="10" t="n">
        <v>6544.79</v>
      </c>
      <c r="J43" s="10" t="n">
        <v>1928.11</v>
      </c>
      <c r="K43" s="51" t="n">
        <v>0.2946022714250572</v>
      </c>
    </row>
    <row r="44">
      <c r="A44" s="52" t="n">
        <v>46187</v>
      </c>
      <c r="B44" s="13" t="inlineStr">
        <is>
          <t>2026-06</t>
        </is>
      </c>
      <c r="C44" s="14" t="inlineStr">
        <is>
          <t>Картофель кг</t>
        </is>
      </c>
      <c r="D44" s="14" t="inlineStr">
        <is>
          <t>Овощи-фрукты</t>
        </is>
      </c>
      <c r="E44" s="14" t="inlineStr">
        <is>
          <t>Касса №2 (зал)</t>
        </is>
      </c>
      <c r="F44" s="14" t="inlineStr">
        <is>
          <t>Петренко М.С.</t>
        </is>
      </c>
      <c r="G44" s="53" t="n">
        <v>19.683</v>
      </c>
      <c r="H44" s="16" t="n">
        <v>1780.13</v>
      </c>
      <c r="I44" s="16" t="n">
        <v>2482.22</v>
      </c>
      <c r="J44" s="16" t="n">
        <v>702.09</v>
      </c>
      <c r="K44" s="54" t="n">
        <v>0.2828476122180951</v>
      </c>
    </row>
    <row r="45">
      <c r="A45" s="49" t="n">
        <v>46187</v>
      </c>
      <c r="B45" s="7" t="inlineStr">
        <is>
          <t>2026-06</t>
        </is>
      </c>
      <c r="C45" s="8" t="inlineStr">
        <is>
          <t>Курица охлажд. кг</t>
        </is>
      </c>
      <c r="D45" s="8" t="inlineStr">
        <is>
          <t>Мясо</t>
        </is>
      </c>
      <c r="E45" s="8" t="inlineStr">
        <is>
          <t>Касса №1 (зал)</t>
        </is>
      </c>
      <c r="F45" s="8" t="inlineStr">
        <is>
          <t>Петренко М.С.</t>
        </is>
      </c>
      <c r="G45" s="50" t="n">
        <v>19.683</v>
      </c>
      <c r="H45" s="10" t="n">
        <v>1049.3</v>
      </c>
      <c r="I45" s="10" t="n">
        <v>1330.96</v>
      </c>
      <c r="J45" s="10" t="n">
        <v>281.66</v>
      </c>
      <c r="K45" s="51" t="n">
        <v>0.2116216866021518</v>
      </c>
    </row>
    <row r="46">
      <c r="A46" s="52" t="n">
        <v>46187</v>
      </c>
      <c r="B46" s="13" t="inlineStr">
        <is>
          <t>2026-06</t>
        </is>
      </c>
      <c r="C46" s="14" t="inlineStr">
        <is>
          <t>Печенье 300г</t>
        </is>
      </c>
      <c r="D46" s="14" t="inlineStr">
        <is>
          <t>Кондитерка</t>
        </is>
      </c>
      <c r="E46" s="14" t="inlineStr">
        <is>
          <t>Касса №3 (табак)</t>
        </is>
      </c>
      <c r="F46" s="14" t="inlineStr">
        <is>
          <t>Иванова А.П.</t>
        </is>
      </c>
      <c r="G46" s="53" t="n">
        <v>1.755</v>
      </c>
      <c r="H46" s="16" t="n">
        <v>48.89</v>
      </c>
      <c r="I46" s="16" t="n">
        <v>58.16</v>
      </c>
      <c r="J46" s="16" t="n">
        <v>9.27</v>
      </c>
      <c r="K46" s="54" t="n">
        <v>0.1593878954607978</v>
      </c>
    </row>
    <row r="47">
      <c r="A47" s="49" t="n">
        <v>46187</v>
      </c>
      <c r="B47" s="7" t="inlineStr">
        <is>
          <t>2026-06</t>
        </is>
      </c>
      <c r="C47" s="8" t="inlineStr">
        <is>
          <t>Рис 1кг</t>
        </is>
      </c>
      <c r="D47" s="8" t="inlineStr">
        <is>
          <t>Бакалея</t>
        </is>
      </c>
      <c r="E47" s="8" t="inlineStr">
        <is>
          <t>Касса №3 (табак)</t>
        </is>
      </c>
      <c r="F47" s="8" t="inlineStr">
        <is>
          <t>Иванова А.П.</t>
        </is>
      </c>
      <c r="G47" s="50" t="n">
        <v>16.739</v>
      </c>
      <c r="H47" s="10" t="n">
        <v>3199.33</v>
      </c>
      <c r="I47" s="10" t="n">
        <v>3536.78</v>
      </c>
      <c r="J47" s="10" t="n">
        <v>337.45</v>
      </c>
      <c r="K47" s="51" t="n">
        <v>0.09541164562115823</v>
      </c>
    </row>
    <row r="48">
      <c r="A48" s="52" t="n">
        <v>46187</v>
      </c>
      <c r="B48" s="13" t="inlineStr">
        <is>
          <t>2026-06</t>
        </is>
      </c>
      <c r="C48" s="14" t="inlineStr">
        <is>
          <t>Рис 1кг</t>
        </is>
      </c>
      <c r="D48" s="14" t="inlineStr">
        <is>
          <t>Бакалея</t>
        </is>
      </c>
      <c r="E48" s="14" t="inlineStr">
        <is>
          <t>Касса №2 (зал)</t>
        </is>
      </c>
      <c r="F48" s="14" t="inlineStr">
        <is>
          <t>Иванова А.П.</t>
        </is>
      </c>
      <c r="G48" s="53" t="n">
        <v>3.264</v>
      </c>
      <c r="H48" s="16" t="n">
        <v>485.75</v>
      </c>
      <c r="I48" s="16" t="n">
        <v>599.99</v>
      </c>
      <c r="J48" s="16" t="n">
        <v>114.24</v>
      </c>
      <c r="K48" s="54" t="n">
        <v>0.1904031733862231</v>
      </c>
    </row>
    <row r="49">
      <c r="A49" s="49" t="n">
        <v>46187</v>
      </c>
      <c r="B49" s="7" t="inlineStr">
        <is>
          <t>2026-06</t>
        </is>
      </c>
      <c r="C49" s="8" t="inlineStr">
        <is>
          <t>Яблоки кг</t>
        </is>
      </c>
      <c r="D49" s="8" t="inlineStr">
        <is>
          <t>Овощи-фрукты</t>
        </is>
      </c>
      <c r="E49" s="8" t="inlineStr">
        <is>
          <t>Касса №1 (зал)</t>
        </is>
      </c>
      <c r="F49" s="8" t="inlineStr">
        <is>
          <t>Ковальчук О.В.</t>
        </is>
      </c>
      <c r="G49" s="50" t="n">
        <v>26.765</v>
      </c>
      <c r="H49" s="10" t="n">
        <v>2365.49</v>
      </c>
      <c r="I49" s="10" t="n">
        <v>3386.58</v>
      </c>
      <c r="J49" s="10" t="n">
        <v>1021.09</v>
      </c>
      <c r="K49" s="51" t="n">
        <v>0.3015106685801014</v>
      </c>
    </row>
    <row r="50">
      <c r="A50" s="52" t="n">
        <v>46188</v>
      </c>
      <c r="B50" s="13" t="inlineStr">
        <is>
          <t>2026-06</t>
        </is>
      </c>
      <c r="C50" s="14" t="inlineStr">
        <is>
          <t>Вода 1.5л</t>
        </is>
      </c>
      <c r="D50" s="14" t="inlineStr">
        <is>
          <t>Напитки</t>
        </is>
      </c>
      <c r="E50" s="14" t="inlineStr">
        <is>
          <t>Касса №3 (табак)</t>
        </is>
      </c>
      <c r="F50" s="14" t="inlineStr">
        <is>
          <t>Петренко М.С.</t>
        </is>
      </c>
      <c r="G50" s="53" t="n">
        <v>17.965</v>
      </c>
      <c r="H50" s="16" t="n">
        <v>957.53</v>
      </c>
      <c r="I50" s="16" t="n">
        <v>1247.13</v>
      </c>
      <c r="J50" s="16" t="n">
        <v>289.6</v>
      </c>
      <c r="K50" s="54" t="n">
        <v>0.2322131614186171</v>
      </c>
    </row>
    <row r="51">
      <c r="A51" s="49" t="n">
        <v>46188</v>
      </c>
      <c r="B51" s="7" t="inlineStr">
        <is>
          <t>2026-06</t>
        </is>
      </c>
      <c r="C51" s="8" t="inlineStr">
        <is>
          <t>Йогурт 150г</t>
        </is>
      </c>
      <c r="D51" s="8" t="inlineStr">
        <is>
          <t>Молочные</t>
        </is>
      </c>
      <c r="E51" s="8" t="inlineStr">
        <is>
          <t>Касса №1 (зал)</t>
        </is>
      </c>
      <c r="F51" s="8" t="inlineStr">
        <is>
          <t>Иванова А.П.</t>
        </is>
      </c>
      <c r="G51" s="50" t="n">
        <v>21.4</v>
      </c>
      <c r="H51" s="10" t="n">
        <v>4576.82</v>
      </c>
      <c r="I51" s="10" t="n">
        <v>6794.5</v>
      </c>
      <c r="J51" s="10" t="n">
        <v>2217.68</v>
      </c>
      <c r="K51" s="51" t="n">
        <v>0.3263934064316726</v>
      </c>
    </row>
    <row r="52">
      <c r="A52" s="52" t="n">
        <v>46188</v>
      </c>
      <c r="B52" s="13" t="inlineStr">
        <is>
          <t>2026-06</t>
        </is>
      </c>
      <c r="C52" s="14" t="inlineStr">
        <is>
          <t>Молоко 2.5% 1л</t>
        </is>
      </c>
      <c r="D52" s="14" t="inlineStr">
        <is>
          <t>Молочные</t>
        </is>
      </c>
      <c r="E52" s="14" t="inlineStr">
        <is>
          <t>Касса №3 (табак)</t>
        </is>
      </c>
      <c r="F52" s="14" t="inlineStr">
        <is>
          <t>Петренко М.С.</t>
        </is>
      </c>
      <c r="G52" s="53" t="n">
        <v>25.036</v>
      </c>
      <c r="H52" s="16" t="n">
        <v>3188.33</v>
      </c>
      <c r="I52" s="16" t="n">
        <v>3593.17</v>
      </c>
      <c r="J52" s="16" t="n">
        <v>404.84</v>
      </c>
      <c r="K52" s="54" t="n">
        <v>0.1126693142823746</v>
      </c>
    </row>
    <row r="53">
      <c r="A53" s="49" t="n">
        <v>46188</v>
      </c>
      <c r="B53" s="7" t="inlineStr">
        <is>
          <t>2026-06</t>
        </is>
      </c>
      <c r="C53" s="8" t="inlineStr">
        <is>
          <t>Сыр Гауда 200г</t>
        </is>
      </c>
      <c r="D53" s="8" t="inlineStr">
        <is>
          <t>Молочные</t>
        </is>
      </c>
      <c r="E53" s="8" t="inlineStr">
        <is>
          <t>Касса №3 (табак)</t>
        </is>
      </c>
      <c r="F53" s="8" t="inlineStr">
        <is>
          <t>Ковальчук О.В.</t>
        </is>
      </c>
      <c r="G53" s="50" t="n">
        <v>5.767</v>
      </c>
      <c r="H53" s="10" t="n">
        <v>614.1900000000001</v>
      </c>
      <c r="I53" s="10" t="n">
        <v>816.66</v>
      </c>
      <c r="J53" s="10" t="n">
        <v>202.47</v>
      </c>
      <c r="K53" s="51" t="n">
        <v>0.2479244728528396</v>
      </c>
    </row>
    <row r="54">
      <c r="A54" s="52" t="n">
        <v>46188</v>
      </c>
      <c r="B54" s="13" t="inlineStr">
        <is>
          <t>2026-06</t>
        </is>
      </c>
      <c r="C54" s="14" t="inlineStr">
        <is>
          <t>Шоколад 90г</t>
        </is>
      </c>
      <c r="D54" s="14" t="inlineStr">
        <is>
          <t>Кондитерка</t>
        </is>
      </c>
      <c r="E54" s="14" t="inlineStr">
        <is>
          <t>Касса №1 (зал)</t>
        </is>
      </c>
      <c r="F54" s="14" t="inlineStr">
        <is>
          <t>Сидоренко Т.И.</t>
        </is>
      </c>
      <c r="G54" s="53" t="n">
        <v>6.037</v>
      </c>
      <c r="H54" s="16" t="n">
        <v>283.14</v>
      </c>
      <c r="I54" s="16" t="n">
        <v>367.35</v>
      </c>
      <c r="J54" s="16" t="n">
        <v>84.20999999999999</v>
      </c>
      <c r="K54" s="54" t="n">
        <v>0.2292364230298081</v>
      </c>
    </row>
    <row r="55">
      <c r="A55" s="49" t="n">
        <v>46189</v>
      </c>
      <c r="B55" s="7" t="inlineStr">
        <is>
          <t>2026-06</t>
        </is>
      </c>
      <c r="C55" s="8" t="inlineStr">
        <is>
          <t>Сигареты премиум</t>
        </is>
      </c>
      <c r="D55" s="8" t="inlineStr">
        <is>
          <t>Табак</t>
        </is>
      </c>
      <c r="E55" s="8" t="inlineStr">
        <is>
          <t>Касса №2 (зал)</t>
        </is>
      </c>
      <c r="F55" s="8" t="inlineStr">
        <is>
          <t>Петренко М.С.</t>
        </is>
      </c>
      <c r="G55" s="50" t="n">
        <v>25.257</v>
      </c>
      <c r="H55" s="10" t="n">
        <v>1672.27</v>
      </c>
      <c r="I55" s="10" t="n">
        <v>1867</v>
      </c>
      <c r="J55" s="10" t="n">
        <v>194.73</v>
      </c>
      <c r="K55" s="51" t="n">
        <v>0.1043010176754151</v>
      </c>
    </row>
    <row r="56">
      <c r="A56" s="52" t="n">
        <v>46190</v>
      </c>
      <c r="B56" s="13" t="inlineStr">
        <is>
          <t>2026-06</t>
        </is>
      </c>
      <c r="C56" s="14" t="inlineStr">
        <is>
          <t>Масло подсолн. 1л</t>
        </is>
      </c>
      <c r="D56" s="14" t="inlineStr">
        <is>
          <t>Бакалея</t>
        </is>
      </c>
      <c r="E56" s="14" t="inlineStr">
        <is>
          <t>Касса №2 (зал)</t>
        </is>
      </c>
      <c r="F56" s="14" t="inlineStr">
        <is>
          <t>Петренко М.С.</t>
        </is>
      </c>
      <c r="G56" s="53" t="n">
        <v>12.717</v>
      </c>
      <c r="H56" s="16" t="n">
        <v>1202.77</v>
      </c>
      <c r="I56" s="16" t="n">
        <v>1526.42</v>
      </c>
      <c r="J56" s="16" t="n">
        <v>323.65</v>
      </c>
      <c r="K56" s="54" t="n">
        <v>0.2120320750514275</v>
      </c>
    </row>
    <row r="57">
      <c r="A57" s="49" t="n">
        <v>46190</v>
      </c>
      <c r="B57" s="7" t="inlineStr">
        <is>
          <t>2026-06</t>
        </is>
      </c>
      <c r="C57" s="8" t="inlineStr">
        <is>
          <t>Хлеб белый 500г</t>
        </is>
      </c>
      <c r="D57" s="8" t="inlineStr">
        <is>
          <t>Хлеб</t>
        </is>
      </c>
      <c r="E57" s="8" t="inlineStr">
        <is>
          <t>Касса №3 (табак)</t>
        </is>
      </c>
      <c r="F57" s="8" t="inlineStr">
        <is>
          <t>Петренко М.С.</t>
        </is>
      </c>
      <c r="G57" s="50" t="n">
        <v>3.664</v>
      </c>
      <c r="H57" s="10" t="n">
        <v>173.64</v>
      </c>
      <c r="I57" s="10" t="n">
        <v>236.07</v>
      </c>
      <c r="J57" s="10" t="n">
        <v>62.43</v>
      </c>
      <c r="K57" s="51" t="n">
        <v>0.2644554581268268</v>
      </c>
    </row>
    <row r="58">
      <c r="A58" s="52" t="n">
        <v>46190</v>
      </c>
      <c r="B58" s="13" t="inlineStr">
        <is>
          <t>2026-06</t>
        </is>
      </c>
      <c r="C58" s="14" t="inlineStr">
        <is>
          <t>Яйца С1 10шт</t>
        </is>
      </c>
      <c r="D58" s="14" t="inlineStr">
        <is>
          <t>Яйца</t>
        </is>
      </c>
      <c r="E58" s="14" t="inlineStr">
        <is>
          <t>Касса №1 (зал)</t>
        </is>
      </c>
      <c r="F58" s="14" t="inlineStr">
        <is>
          <t>Сидоренко Т.И.</t>
        </is>
      </c>
      <c r="G58" s="53" t="n">
        <v>9.901</v>
      </c>
      <c r="H58" s="16" t="n">
        <v>1483.37</v>
      </c>
      <c r="I58" s="16" t="n">
        <v>1751.39</v>
      </c>
      <c r="J58" s="16" t="n">
        <v>268.02</v>
      </c>
      <c r="K58" s="54" t="n">
        <v>0.1530327339998515</v>
      </c>
    </row>
    <row r="59">
      <c r="A59" s="49" t="n">
        <v>46191</v>
      </c>
      <c r="B59" s="7" t="inlineStr">
        <is>
          <t>2026-06</t>
        </is>
      </c>
      <c r="C59" s="8" t="inlineStr">
        <is>
          <t>Колбаса варёная 400г</t>
        </is>
      </c>
      <c r="D59" s="8" t="inlineStr">
        <is>
          <t>Мясо</t>
        </is>
      </c>
      <c r="E59" s="8" t="inlineStr">
        <is>
          <t>Касса №2 (зал)</t>
        </is>
      </c>
      <c r="F59" s="8" t="inlineStr">
        <is>
          <t>Петренко М.С.</t>
        </is>
      </c>
      <c r="G59" s="50" t="n">
        <v>1.923</v>
      </c>
      <c r="H59" s="10" t="n">
        <v>165.9</v>
      </c>
      <c r="I59" s="10" t="n">
        <v>222.24</v>
      </c>
      <c r="J59" s="10" t="n">
        <v>56.34</v>
      </c>
      <c r="K59" s="51" t="n">
        <v>0.2535097192224622</v>
      </c>
    </row>
    <row r="60">
      <c r="A60" s="52" t="n">
        <v>46191</v>
      </c>
      <c r="B60" s="13" t="inlineStr">
        <is>
          <t>2026-06</t>
        </is>
      </c>
      <c r="C60" s="14" t="inlineStr">
        <is>
          <t>Кофе молотый 250г</t>
        </is>
      </c>
      <c r="D60" s="14" t="inlineStr">
        <is>
          <t>Напитки</t>
        </is>
      </c>
      <c r="E60" s="14" t="inlineStr">
        <is>
          <t>Касса №3 (табак)</t>
        </is>
      </c>
      <c r="F60" s="14" t="inlineStr">
        <is>
          <t>Ковальчук О.В.</t>
        </is>
      </c>
      <c r="G60" s="53" t="n">
        <v>33.432</v>
      </c>
      <c r="H60" s="16" t="n">
        <v>2421.15</v>
      </c>
      <c r="I60" s="16" t="n">
        <v>2854.09</v>
      </c>
      <c r="J60" s="16" t="n">
        <v>432.94</v>
      </c>
      <c r="K60" s="54" t="n">
        <v>0.1516910819210326</v>
      </c>
    </row>
    <row r="61">
      <c r="A61" s="49" t="n">
        <v>46193</v>
      </c>
      <c r="B61" s="7" t="inlineStr">
        <is>
          <t>2026-06</t>
        </is>
      </c>
      <c r="C61" s="8" t="inlineStr">
        <is>
          <t>Вода 1.5л</t>
        </is>
      </c>
      <c r="D61" s="8" t="inlineStr">
        <is>
          <t>Напитки</t>
        </is>
      </c>
      <c r="E61" s="8" t="inlineStr">
        <is>
          <t>Касса №3 (табак)</t>
        </is>
      </c>
      <c r="F61" s="8" t="inlineStr">
        <is>
          <t>Сидоренко Т.И.</t>
        </is>
      </c>
      <c r="G61" s="50" t="n">
        <v>32.693</v>
      </c>
      <c r="H61" s="10" t="n">
        <v>6444.12</v>
      </c>
      <c r="I61" s="10" t="n">
        <v>8252.040000000001</v>
      </c>
      <c r="J61" s="10" t="n">
        <v>1807.92</v>
      </c>
      <c r="K61" s="51" t="n">
        <v>0.2190876437826283</v>
      </c>
    </row>
    <row r="62">
      <c r="A62" s="52" t="n">
        <v>46193</v>
      </c>
      <c r="B62" s="13" t="inlineStr">
        <is>
          <t>2026-06</t>
        </is>
      </c>
      <c r="C62" s="14" t="inlineStr">
        <is>
          <t>Молоко 2.5% 1л</t>
        </is>
      </c>
      <c r="D62" s="14" t="inlineStr">
        <is>
          <t>Молочные</t>
        </is>
      </c>
      <c r="E62" s="14" t="inlineStr">
        <is>
          <t>Касса №3 (табак)</t>
        </is>
      </c>
      <c r="F62" s="14" t="inlineStr">
        <is>
          <t>Петренко М.С.</t>
        </is>
      </c>
      <c r="G62" s="53" t="n">
        <v>6.519</v>
      </c>
      <c r="H62" s="16" t="n">
        <v>226.6</v>
      </c>
      <c r="I62" s="16" t="n">
        <v>316.04</v>
      </c>
      <c r="J62" s="16" t="n">
        <v>89.44</v>
      </c>
      <c r="K62" s="54" t="n">
        <v>0.2830021516263764</v>
      </c>
    </row>
    <row r="63">
      <c r="A63" s="49" t="n">
        <v>46194</v>
      </c>
      <c r="B63" s="7" t="inlineStr">
        <is>
          <t>2026-06</t>
        </is>
      </c>
      <c r="C63" s="8" t="inlineStr">
        <is>
          <t>Йогурт 150г</t>
        </is>
      </c>
      <c r="D63" s="8" t="inlineStr">
        <is>
          <t>Молочные</t>
        </is>
      </c>
      <c r="E63" s="8" t="inlineStr">
        <is>
          <t>Касса №2 (зал)</t>
        </is>
      </c>
      <c r="F63" s="8" t="inlineStr">
        <is>
          <t>Ковальчук О.В.</t>
        </is>
      </c>
      <c r="G63" s="50" t="n">
        <v>7.26</v>
      </c>
      <c r="H63" s="10" t="n">
        <v>1180.26</v>
      </c>
      <c r="I63" s="10" t="n">
        <v>1365.32</v>
      </c>
      <c r="J63" s="10" t="n">
        <v>185.06</v>
      </c>
      <c r="K63" s="51" t="n">
        <v>0.1355433158526939</v>
      </c>
    </row>
    <row r="64">
      <c r="A64" s="52" t="n">
        <v>46194</v>
      </c>
      <c r="B64" s="13" t="inlineStr">
        <is>
          <t>2026-06</t>
        </is>
      </c>
      <c r="C64" s="14" t="inlineStr">
        <is>
          <t>Колбаса варёная 400г</t>
        </is>
      </c>
      <c r="D64" s="14" t="inlineStr">
        <is>
          <t>Мясо</t>
        </is>
      </c>
      <c r="E64" s="14" t="inlineStr">
        <is>
          <t>Касса №2 (зал)</t>
        </is>
      </c>
      <c r="F64" s="14" t="inlineStr">
        <is>
          <t>Сидоренко Т.И.</t>
        </is>
      </c>
      <c r="G64" s="53" t="n">
        <v>6.819</v>
      </c>
      <c r="H64" s="16" t="n">
        <v>1038.26</v>
      </c>
      <c r="I64" s="16" t="n">
        <v>1412.35</v>
      </c>
      <c r="J64" s="16" t="n">
        <v>374.09</v>
      </c>
      <c r="K64" s="54" t="n">
        <v>0.2648706057280419</v>
      </c>
    </row>
    <row r="65">
      <c r="A65" s="49" t="n">
        <v>46194</v>
      </c>
      <c r="B65" s="7" t="inlineStr">
        <is>
          <t>2026-06</t>
        </is>
      </c>
      <c r="C65" s="8" t="inlineStr">
        <is>
          <t>Яблоки кг</t>
        </is>
      </c>
      <c r="D65" s="8" t="inlineStr">
        <is>
          <t>Овощи-фрукты</t>
        </is>
      </c>
      <c r="E65" s="8" t="inlineStr">
        <is>
          <t>Касса №1 (зал)</t>
        </is>
      </c>
      <c r="F65" s="8" t="inlineStr">
        <is>
          <t>Ковальчук О.В.</t>
        </is>
      </c>
      <c r="G65" s="50" t="n">
        <v>20.22</v>
      </c>
      <c r="H65" s="10" t="n">
        <v>3954.02</v>
      </c>
      <c r="I65" s="10" t="n">
        <v>5465.06</v>
      </c>
      <c r="J65" s="10" t="n">
        <v>1511.04</v>
      </c>
      <c r="K65" s="51" t="n">
        <v>0.2764910174819672</v>
      </c>
    </row>
    <row r="66">
      <c r="A66" s="52" t="n">
        <v>46194</v>
      </c>
      <c r="B66" s="13" t="inlineStr">
        <is>
          <t>2026-06</t>
        </is>
      </c>
      <c r="C66" s="14" t="inlineStr">
        <is>
          <t>Яйца С1 10шт</t>
        </is>
      </c>
      <c r="D66" s="14" t="inlineStr">
        <is>
          <t>Яйца</t>
        </is>
      </c>
      <c r="E66" s="14" t="inlineStr">
        <is>
          <t>Касса №2 (зал)</t>
        </is>
      </c>
      <c r="F66" s="14" t="inlineStr">
        <is>
          <t>Сидоренко Т.И.</t>
        </is>
      </c>
      <c r="G66" s="53" t="n">
        <v>17.43</v>
      </c>
      <c r="H66" s="16" t="n">
        <v>3342.55</v>
      </c>
      <c r="I66" s="16" t="n">
        <v>3895.43</v>
      </c>
      <c r="J66" s="16" t="n">
        <v>552.88</v>
      </c>
      <c r="K66" s="54" t="n">
        <v>0.1419304158976031</v>
      </c>
    </row>
    <row r="67">
      <c r="A67" s="49" t="n">
        <v>46195</v>
      </c>
      <c r="B67" s="7" t="inlineStr">
        <is>
          <t>2026-06</t>
        </is>
      </c>
      <c r="C67" s="8" t="inlineStr">
        <is>
          <t>Молоко 2.5% 1л</t>
        </is>
      </c>
      <c r="D67" s="8" t="inlineStr">
        <is>
          <t>Молочные</t>
        </is>
      </c>
      <c r="E67" s="8" t="inlineStr">
        <is>
          <t>Касса №2 (зал)</t>
        </is>
      </c>
      <c r="F67" s="8" t="inlineStr">
        <is>
          <t>Ковальчук О.В.</t>
        </is>
      </c>
      <c r="G67" s="50" t="n">
        <v>8.129</v>
      </c>
      <c r="H67" s="10" t="n">
        <v>630.73</v>
      </c>
      <c r="I67" s="10" t="n">
        <v>937.4400000000001</v>
      </c>
      <c r="J67" s="10" t="n">
        <v>306.71</v>
      </c>
      <c r="K67" s="51" t="n">
        <v>0.3271782727427888</v>
      </c>
    </row>
    <row r="68">
      <c r="A68" s="52" t="n">
        <v>46195</v>
      </c>
      <c r="B68" s="13" t="inlineStr">
        <is>
          <t>2026-06</t>
        </is>
      </c>
      <c r="C68" s="14" t="inlineStr">
        <is>
          <t>Чай чёрный 100пак</t>
        </is>
      </c>
      <c r="D68" s="14" t="inlineStr">
        <is>
          <t>Напитки</t>
        </is>
      </c>
      <c r="E68" s="14" t="inlineStr">
        <is>
          <t>Касса №1 (зал)</t>
        </is>
      </c>
      <c r="F68" s="14" t="inlineStr">
        <is>
          <t>Ковальчук О.В.</t>
        </is>
      </c>
      <c r="G68" s="53" t="n">
        <v>23.555</v>
      </c>
      <c r="H68" s="16" t="n">
        <v>2799.04</v>
      </c>
      <c r="I68" s="16" t="n">
        <v>4252.62</v>
      </c>
      <c r="J68" s="16" t="n">
        <v>1453.58</v>
      </c>
      <c r="K68" s="54" t="n">
        <v>0.3418081088834648</v>
      </c>
    </row>
    <row r="69">
      <c r="A69" s="49" t="n">
        <v>46195</v>
      </c>
      <c r="B69" s="7" t="inlineStr">
        <is>
          <t>2026-06</t>
        </is>
      </c>
      <c r="C69" s="8" t="inlineStr">
        <is>
          <t>Яблоки кг</t>
        </is>
      </c>
      <c r="D69" s="8" t="inlineStr">
        <is>
          <t>Овощи-фрукты</t>
        </is>
      </c>
      <c r="E69" s="8" t="inlineStr">
        <is>
          <t>Касса №1 (зал)</t>
        </is>
      </c>
      <c r="F69" s="8" t="inlineStr">
        <is>
          <t>Иванова А.П.</t>
        </is>
      </c>
      <c r="G69" s="50" t="n">
        <v>25.552</v>
      </c>
      <c r="H69" s="10" t="n">
        <v>1634.31</v>
      </c>
      <c r="I69" s="10" t="n">
        <v>2140.24</v>
      </c>
      <c r="J69" s="10" t="n">
        <v>505.93</v>
      </c>
      <c r="K69" s="51" t="n">
        <v>0.2363893768923112</v>
      </c>
    </row>
    <row r="70">
      <c r="A70" s="52" t="n">
        <v>46195</v>
      </c>
      <c r="B70" s="13" t="inlineStr">
        <is>
          <t>2026-06</t>
        </is>
      </c>
      <c r="C70" s="14" t="inlineStr">
        <is>
          <t>Яблоки кг</t>
        </is>
      </c>
      <c r="D70" s="14" t="inlineStr">
        <is>
          <t>Овощи-фрукты</t>
        </is>
      </c>
      <c r="E70" s="14" t="inlineStr">
        <is>
          <t>Касса №2 (зал)</t>
        </is>
      </c>
      <c r="F70" s="14" t="inlineStr">
        <is>
          <t>Петренко М.С.</t>
        </is>
      </c>
      <c r="G70" s="53" t="n">
        <v>10.356</v>
      </c>
      <c r="H70" s="16" t="n">
        <v>308.51</v>
      </c>
      <c r="I70" s="16" t="n">
        <v>446.34</v>
      </c>
      <c r="J70" s="16" t="n">
        <v>137.83</v>
      </c>
      <c r="K70" s="54" t="n">
        <v>0.3088004660124569</v>
      </c>
    </row>
    <row r="71">
      <c r="A71" s="49" t="n">
        <v>46196</v>
      </c>
      <c r="B71" s="7" t="inlineStr">
        <is>
          <t>2026-06</t>
        </is>
      </c>
      <c r="C71" s="8" t="inlineStr">
        <is>
          <t>Вода 1.5л</t>
        </is>
      </c>
      <c r="D71" s="8" t="inlineStr">
        <is>
          <t>Напитки</t>
        </is>
      </c>
      <c r="E71" s="8" t="inlineStr">
        <is>
          <t>Касса №3 (табак)</t>
        </is>
      </c>
      <c r="F71" s="8" t="inlineStr">
        <is>
          <t>Иванова А.П.</t>
        </is>
      </c>
      <c r="G71" s="50" t="n">
        <v>10.622</v>
      </c>
      <c r="H71" s="10" t="n">
        <v>915.72</v>
      </c>
      <c r="I71" s="10" t="n">
        <v>1249.78</v>
      </c>
      <c r="J71" s="10" t="n">
        <v>334.06</v>
      </c>
      <c r="K71" s="51" t="n">
        <v>0.2672950439277313</v>
      </c>
    </row>
    <row r="72">
      <c r="A72" s="52" t="n">
        <v>46196</v>
      </c>
      <c r="B72" s="13" t="inlineStr">
        <is>
          <t>2026-06</t>
        </is>
      </c>
      <c r="C72" s="14" t="inlineStr">
        <is>
          <t>Колбаса варёная 400г</t>
        </is>
      </c>
      <c r="D72" s="14" t="inlineStr">
        <is>
          <t>Мясо</t>
        </is>
      </c>
      <c r="E72" s="14" t="inlineStr">
        <is>
          <t>Касса №2 (зал)</t>
        </is>
      </c>
      <c r="F72" s="14" t="inlineStr">
        <is>
          <t>Сидоренко Т.И.</t>
        </is>
      </c>
      <c r="G72" s="53" t="n">
        <v>8.951000000000001</v>
      </c>
      <c r="H72" s="16" t="n">
        <v>858.85</v>
      </c>
      <c r="I72" s="16" t="n">
        <v>1061.14</v>
      </c>
      <c r="J72" s="16" t="n">
        <v>202.29</v>
      </c>
      <c r="K72" s="54" t="n">
        <v>0.1906346005239648</v>
      </c>
    </row>
    <row r="73">
      <c r="A73" s="49" t="n">
        <v>46196</v>
      </c>
      <c r="B73" s="7" t="inlineStr">
        <is>
          <t>2026-06</t>
        </is>
      </c>
      <c r="C73" s="8" t="inlineStr">
        <is>
          <t>Чай чёрный 100пак</t>
        </is>
      </c>
      <c r="D73" s="8" t="inlineStr">
        <is>
          <t>Напитки</t>
        </is>
      </c>
      <c r="E73" s="8" t="inlineStr">
        <is>
          <t>Касса №3 (табак)</t>
        </is>
      </c>
      <c r="F73" s="8" t="inlineStr">
        <is>
          <t>Сидоренко Т.И.</t>
        </is>
      </c>
      <c r="G73" s="50" t="n">
        <v>38.314</v>
      </c>
      <c r="H73" s="10" t="n">
        <v>8391.92</v>
      </c>
      <c r="I73" s="10" t="n">
        <v>11255.5</v>
      </c>
      <c r="J73" s="10" t="n">
        <v>2863.58</v>
      </c>
      <c r="K73" s="51" t="n">
        <v>0.2544160632579628</v>
      </c>
    </row>
    <row r="74">
      <c r="A74" s="52" t="n">
        <v>46197</v>
      </c>
      <c r="B74" s="13" t="inlineStr">
        <is>
          <t>2026-06</t>
        </is>
      </c>
      <c r="C74" s="14" t="inlineStr">
        <is>
          <t>Курица охлажд. кг</t>
        </is>
      </c>
      <c r="D74" s="14" t="inlineStr">
        <is>
          <t>Мясо</t>
        </is>
      </c>
      <c r="E74" s="14" t="inlineStr">
        <is>
          <t>Касса №1 (зал)</t>
        </is>
      </c>
      <c r="F74" s="14" t="inlineStr">
        <is>
          <t>Иванова А.П.</t>
        </is>
      </c>
      <c r="G74" s="53" t="n">
        <v>17.953</v>
      </c>
      <c r="H74" s="16" t="n">
        <v>2829.39</v>
      </c>
      <c r="I74" s="16" t="n">
        <v>3801.73</v>
      </c>
      <c r="J74" s="16" t="n">
        <v>972.34</v>
      </c>
      <c r="K74" s="54" t="n">
        <v>0.2557625081213027</v>
      </c>
    </row>
    <row r="75">
      <c r="A75" s="49" t="n">
        <v>46197</v>
      </c>
      <c r="B75" s="7" t="inlineStr">
        <is>
          <t>2026-06</t>
        </is>
      </c>
      <c r="C75" s="8" t="inlineStr">
        <is>
          <t>Курица охлажд. кг</t>
        </is>
      </c>
      <c r="D75" s="8" t="inlineStr">
        <is>
          <t>Мясо</t>
        </is>
      </c>
      <c r="E75" s="8" t="inlineStr">
        <is>
          <t>Касса №3 (табак)</t>
        </is>
      </c>
      <c r="F75" s="8" t="inlineStr">
        <is>
          <t>Петренко М.С.</t>
        </is>
      </c>
      <c r="G75" s="50" t="n">
        <v>37.017</v>
      </c>
      <c r="H75" s="10" t="n">
        <v>6436.15</v>
      </c>
      <c r="I75" s="10" t="n">
        <v>8196.299999999999</v>
      </c>
      <c r="J75" s="10" t="n">
        <v>1760.15</v>
      </c>
      <c r="K75" s="51" t="n">
        <v>0.2147493381159792</v>
      </c>
    </row>
    <row r="76">
      <c r="A76" s="52" t="n">
        <v>46197</v>
      </c>
      <c r="B76" s="13" t="inlineStr">
        <is>
          <t>2026-06</t>
        </is>
      </c>
      <c r="C76" s="14" t="inlineStr">
        <is>
          <t>Курица охлажд. кг</t>
        </is>
      </c>
      <c r="D76" s="14" t="inlineStr">
        <is>
          <t>Мясо</t>
        </is>
      </c>
      <c r="E76" s="14" t="inlineStr">
        <is>
          <t>Касса №3 (табак)</t>
        </is>
      </c>
      <c r="F76" s="14" t="inlineStr">
        <is>
          <t>Ковальчук О.В.</t>
        </is>
      </c>
      <c r="G76" s="53" t="n">
        <v>34.529</v>
      </c>
      <c r="H76" s="16" t="n">
        <v>3570.64</v>
      </c>
      <c r="I76" s="16" t="n">
        <v>5117.89</v>
      </c>
      <c r="J76" s="16" t="n">
        <v>1547.25</v>
      </c>
      <c r="K76" s="54" t="n">
        <v>0.3023218552958348</v>
      </c>
    </row>
    <row r="77">
      <c r="A77" s="49" t="n">
        <v>46197</v>
      </c>
      <c r="B77" s="7" t="inlineStr">
        <is>
          <t>2026-06</t>
        </is>
      </c>
      <c r="C77" s="8" t="inlineStr">
        <is>
          <t>Рис 1кг</t>
        </is>
      </c>
      <c r="D77" s="8" t="inlineStr">
        <is>
          <t>Бакалея</t>
        </is>
      </c>
      <c r="E77" s="8" t="inlineStr">
        <is>
          <t>Касса №1 (зал)</t>
        </is>
      </c>
      <c r="F77" s="8" t="inlineStr">
        <is>
          <t>Сидоренко Т.И.</t>
        </is>
      </c>
      <c r="G77" s="50" t="n">
        <v>31.564</v>
      </c>
      <c r="H77" s="10" t="n">
        <v>3172.81</v>
      </c>
      <c r="I77" s="10" t="n">
        <v>4894.31</v>
      </c>
      <c r="J77" s="10" t="n">
        <v>1721.5</v>
      </c>
      <c r="K77" s="51" t="n">
        <v>0.3517349738778295</v>
      </c>
    </row>
    <row r="78">
      <c r="A78" s="52" t="n">
        <v>46197</v>
      </c>
      <c r="B78" s="13" t="inlineStr">
        <is>
          <t>2026-06</t>
        </is>
      </c>
      <c r="C78" s="14" t="inlineStr">
        <is>
          <t>Сыр Гауда 200г</t>
        </is>
      </c>
      <c r="D78" s="14" t="inlineStr">
        <is>
          <t>Молочные</t>
        </is>
      </c>
      <c r="E78" s="14" t="inlineStr">
        <is>
          <t>Касса №3 (табак)</t>
        </is>
      </c>
      <c r="F78" s="14" t="inlineStr">
        <is>
          <t>Ковальчук О.В.</t>
        </is>
      </c>
      <c r="G78" s="53" t="n">
        <v>22.352</v>
      </c>
      <c r="H78" s="16" t="n">
        <v>1469.42</v>
      </c>
      <c r="I78" s="16" t="n">
        <v>2004.75</v>
      </c>
      <c r="J78" s="16" t="n">
        <v>535.33</v>
      </c>
      <c r="K78" s="54" t="n">
        <v>0.2670308018456167</v>
      </c>
    </row>
    <row r="79">
      <c r="A79" s="49" t="n">
        <v>46197</v>
      </c>
      <c r="B79" s="7" t="inlineStr">
        <is>
          <t>2026-06</t>
        </is>
      </c>
      <c r="C79" s="8" t="inlineStr">
        <is>
          <t>Хлеб белый 500г</t>
        </is>
      </c>
      <c r="D79" s="8" t="inlineStr">
        <is>
          <t>Хлеб</t>
        </is>
      </c>
      <c r="E79" s="8" t="inlineStr">
        <is>
          <t>Касса №1 (зал)</t>
        </is>
      </c>
      <c r="F79" s="8" t="inlineStr">
        <is>
          <t>Ковальчук О.В.</t>
        </is>
      </c>
      <c r="G79" s="50" t="n">
        <v>18.647</v>
      </c>
      <c r="H79" s="10" t="n">
        <v>642.58</v>
      </c>
      <c r="I79" s="10" t="n">
        <v>972.4400000000001</v>
      </c>
      <c r="J79" s="10" t="n">
        <v>329.86</v>
      </c>
      <c r="K79" s="51" t="n">
        <v>0.3392085887047016</v>
      </c>
    </row>
    <row r="80">
      <c r="A80" s="52" t="n">
        <v>46197</v>
      </c>
      <c r="B80" s="13" t="inlineStr">
        <is>
          <t>2026-06</t>
        </is>
      </c>
      <c r="C80" s="14" t="inlineStr">
        <is>
          <t>Шоколад 90г</t>
        </is>
      </c>
      <c r="D80" s="14" t="inlineStr">
        <is>
          <t>Кондитерка</t>
        </is>
      </c>
      <c r="E80" s="14" t="inlineStr">
        <is>
          <t>Касса №2 (зал)</t>
        </is>
      </c>
      <c r="F80" s="14" t="inlineStr">
        <is>
          <t>Петренко М.С.</t>
        </is>
      </c>
      <c r="G80" s="53" t="n">
        <v>29.518</v>
      </c>
      <c r="H80" s="16" t="n">
        <v>5241.51</v>
      </c>
      <c r="I80" s="16" t="n">
        <v>7872.75</v>
      </c>
      <c r="J80" s="16" t="n">
        <v>2631.24</v>
      </c>
      <c r="K80" s="54" t="n">
        <v>0.334221206058874</v>
      </c>
    </row>
    <row r="81">
      <c r="A81" s="49" t="n">
        <v>46198</v>
      </c>
      <c r="B81" s="7" t="inlineStr">
        <is>
          <t>2026-06</t>
        </is>
      </c>
      <c r="C81" s="8" t="inlineStr">
        <is>
          <t>Молоко 2.5% 1л</t>
        </is>
      </c>
      <c r="D81" s="8" t="inlineStr">
        <is>
          <t>Молочные</t>
        </is>
      </c>
      <c r="E81" s="8" t="inlineStr">
        <is>
          <t>Касса №1 (зал)</t>
        </is>
      </c>
      <c r="F81" s="8" t="inlineStr">
        <is>
          <t>Петренко М.С.</t>
        </is>
      </c>
      <c r="G81" s="50" t="n">
        <v>32.33</v>
      </c>
      <c r="H81" s="10" t="n">
        <v>5043.8</v>
      </c>
      <c r="I81" s="10" t="n">
        <v>6253.92</v>
      </c>
      <c r="J81" s="10" t="n">
        <v>1210.12</v>
      </c>
      <c r="K81" s="51" t="n">
        <v>0.1934978381559086</v>
      </c>
    </row>
    <row r="82">
      <c r="A82" s="52" t="n">
        <v>46198</v>
      </c>
      <c r="B82" s="13" t="inlineStr">
        <is>
          <t>2026-06</t>
        </is>
      </c>
      <c r="C82" s="14" t="inlineStr">
        <is>
          <t>Шоколад 90г</t>
        </is>
      </c>
      <c r="D82" s="14" t="inlineStr">
        <is>
          <t>Кондитерка</t>
        </is>
      </c>
      <c r="E82" s="14" t="inlineStr">
        <is>
          <t>Касса №2 (зал)</t>
        </is>
      </c>
      <c r="F82" s="14" t="inlineStr">
        <is>
          <t>Петренко М.С.</t>
        </is>
      </c>
      <c r="G82" s="53" t="n">
        <v>11.04</v>
      </c>
      <c r="H82" s="16" t="n">
        <v>1588.44</v>
      </c>
      <c r="I82" s="16" t="n">
        <v>1798.75</v>
      </c>
      <c r="J82" s="16" t="n">
        <v>210.31</v>
      </c>
      <c r="K82" s="54" t="n">
        <v>0.1169200833912439</v>
      </c>
    </row>
    <row r="83">
      <c r="A83" s="49" t="n">
        <v>46198</v>
      </c>
      <c r="B83" s="7" t="inlineStr">
        <is>
          <t>2026-06</t>
        </is>
      </c>
      <c r="C83" s="8" t="inlineStr">
        <is>
          <t>Шоколад 90г</t>
        </is>
      </c>
      <c r="D83" s="8" t="inlineStr">
        <is>
          <t>Кондитерка</t>
        </is>
      </c>
      <c r="E83" s="8" t="inlineStr">
        <is>
          <t>Касса №1 (зал)</t>
        </is>
      </c>
      <c r="F83" s="8" t="inlineStr">
        <is>
          <t>Ковальчук О.В.</t>
        </is>
      </c>
      <c r="G83" s="50" t="n">
        <v>5.468</v>
      </c>
      <c r="H83" s="10" t="n">
        <v>808.55</v>
      </c>
      <c r="I83" s="10" t="n">
        <v>1233.03</v>
      </c>
      <c r="J83" s="10" t="n">
        <v>424.48</v>
      </c>
      <c r="K83" s="51" t="n">
        <v>0.3442576417443209</v>
      </c>
    </row>
    <row r="84">
      <c r="A84" s="52" t="n">
        <v>46198</v>
      </c>
      <c r="B84" s="13" t="inlineStr">
        <is>
          <t>2026-06</t>
        </is>
      </c>
      <c r="C84" s="14" t="inlineStr">
        <is>
          <t>Яйца С1 10шт</t>
        </is>
      </c>
      <c r="D84" s="14" t="inlineStr">
        <is>
          <t>Яйца</t>
        </is>
      </c>
      <c r="E84" s="14" t="inlineStr">
        <is>
          <t>Касса №1 (зал)</t>
        </is>
      </c>
      <c r="F84" s="14" t="inlineStr">
        <is>
          <t>Петренко М.С.</t>
        </is>
      </c>
      <c r="G84" s="53" t="n">
        <v>38.313</v>
      </c>
      <c r="H84" s="16" t="n">
        <v>633.3099999999999</v>
      </c>
      <c r="I84" s="16" t="n">
        <v>693.08</v>
      </c>
      <c r="J84" s="16" t="n">
        <v>59.77</v>
      </c>
      <c r="K84" s="54" t="n">
        <v>0.08623824089571189</v>
      </c>
    </row>
    <row r="85">
      <c r="A85" s="49" t="n">
        <v>46199</v>
      </c>
      <c r="B85" s="7" t="inlineStr">
        <is>
          <t>2026-06</t>
        </is>
      </c>
      <c r="C85" s="8" t="inlineStr">
        <is>
          <t>Бананы кг</t>
        </is>
      </c>
      <c r="D85" s="8" t="inlineStr">
        <is>
          <t>Овощи-фрукты</t>
        </is>
      </c>
      <c r="E85" s="8" t="inlineStr">
        <is>
          <t>Касса №3 (табак)</t>
        </is>
      </c>
      <c r="F85" s="8" t="inlineStr">
        <is>
          <t>Сидоренко Т.И.</t>
        </is>
      </c>
      <c r="G85" s="50" t="n">
        <v>19.182</v>
      </c>
      <c r="H85" s="10" t="n">
        <v>1808.86</v>
      </c>
      <c r="I85" s="10" t="n">
        <v>2033.68</v>
      </c>
      <c r="J85" s="10" t="n">
        <v>224.82</v>
      </c>
      <c r="K85" s="51" t="n">
        <v>0.1105483655245663</v>
      </c>
    </row>
    <row r="86">
      <c r="A86" s="52" t="n">
        <v>46199</v>
      </c>
      <c r="B86" s="13" t="inlineStr">
        <is>
          <t>2026-06</t>
        </is>
      </c>
      <c r="C86" s="14" t="inlineStr">
        <is>
          <t>Бананы кг</t>
        </is>
      </c>
      <c r="D86" s="14" t="inlineStr">
        <is>
          <t>Овощи-фрукты</t>
        </is>
      </c>
      <c r="E86" s="14" t="inlineStr">
        <is>
          <t>Касса №2 (зал)</t>
        </is>
      </c>
      <c r="F86" s="14" t="inlineStr">
        <is>
          <t>Иванова А.П.</t>
        </is>
      </c>
      <c r="G86" s="53" t="n">
        <v>8.366</v>
      </c>
      <c r="H86" s="16" t="n">
        <v>110.26</v>
      </c>
      <c r="I86" s="16" t="n">
        <v>131.76</v>
      </c>
      <c r="J86" s="16" t="n">
        <v>21.5</v>
      </c>
      <c r="K86" s="54" t="n">
        <v>0.1631754705525197</v>
      </c>
    </row>
    <row r="87">
      <c r="A87" s="49" t="n">
        <v>46200</v>
      </c>
      <c r="B87" s="7" t="inlineStr">
        <is>
          <t>2026-06</t>
        </is>
      </c>
      <c r="C87" s="8" t="inlineStr">
        <is>
          <t>Картофель кг</t>
        </is>
      </c>
      <c r="D87" s="8" t="inlineStr">
        <is>
          <t>Овощи-фрукты</t>
        </is>
      </c>
      <c r="E87" s="8" t="inlineStr">
        <is>
          <t>Касса №2 (зал)</t>
        </is>
      </c>
      <c r="F87" s="8" t="inlineStr">
        <is>
          <t>Петренко М.С.</t>
        </is>
      </c>
      <c r="G87" s="50" t="n">
        <v>3.735</v>
      </c>
      <c r="H87" s="10" t="n">
        <v>45.23</v>
      </c>
      <c r="I87" s="10" t="n">
        <v>60.32</v>
      </c>
      <c r="J87" s="10" t="n">
        <v>15.09</v>
      </c>
      <c r="K87" s="51" t="n">
        <v>0.2501657824933687</v>
      </c>
    </row>
    <row r="88">
      <c r="A88" s="52" t="n">
        <v>46200</v>
      </c>
      <c r="B88" s="13" t="inlineStr">
        <is>
          <t>2026-06</t>
        </is>
      </c>
      <c r="C88" s="14" t="inlineStr">
        <is>
          <t>Чай чёрный 100пак</t>
        </is>
      </c>
      <c r="D88" s="14" t="inlineStr">
        <is>
          <t>Напитки</t>
        </is>
      </c>
      <c r="E88" s="14" t="inlineStr">
        <is>
          <t>Касса №3 (табак)</t>
        </is>
      </c>
      <c r="F88" s="14" t="inlineStr">
        <is>
          <t>Ковальчук О.В.</t>
        </is>
      </c>
      <c r="G88" s="53" t="n">
        <v>11.429</v>
      </c>
      <c r="H88" s="16" t="n">
        <v>100</v>
      </c>
      <c r="I88" s="16" t="n">
        <v>144.23</v>
      </c>
      <c r="J88" s="16" t="n">
        <v>44.23</v>
      </c>
      <c r="K88" s="54" t="n">
        <v>0.3066629688691673</v>
      </c>
    </row>
    <row r="89">
      <c r="A89" s="49" t="n">
        <v>46200</v>
      </c>
      <c r="B89" s="7" t="inlineStr">
        <is>
          <t>2026-06</t>
        </is>
      </c>
      <c r="C89" s="8" t="inlineStr">
        <is>
          <t>Яблоки кг</t>
        </is>
      </c>
      <c r="D89" s="8" t="inlineStr">
        <is>
          <t>Овощи-фрукты</t>
        </is>
      </c>
      <c r="E89" s="8" t="inlineStr">
        <is>
          <t>Касса №1 (зал)</t>
        </is>
      </c>
      <c r="F89" s="8" t="inlineStr">
        <is>
          <t>Петренко М.С.</t>
        </is>
      </c>
      <c r="G89" s="50" t="n">
        <v>36.779</v>
      </c>
      <c r="H89" s="10" t="n">
        <v>3020.66</v>
      </c>
      <c r="I89" s="10" t="n">
        <v>4427.09</v>
      </c>
      <c r="J89" s="10" t="n">
        <v>1406.43</v>
      </c>
      <c r="K89" s="51" t="n">
        <v>0.3176872392474515</v>
      </c>
    </row>
    <row r="90">
      <c r="A90" s="52" t="n">
        <v>46201</v>
      </c>
      <c r="B90" s="13" t="inlineStr">
        <is>
          <t>2026-06</t>
        </is>
      </c>
      <c r="C90" s="14" t="inlineStr">
        <is>
          <t>Бананы кг</t>
        </is>
      </c>
      <c r="D90" s="14" t="inlineStr">
        <is>
          <t>Овощи-фрукты</t>
        </is>
      </c>
      <c r="E90" s="14" t="inlineStr">
        <is>
          <t>Касса №2 (зал)</t>
        </is>
      </c>
      <c r="F90" s="14" t="inlineStr">
        <is>
          <t>Иванова А.П.</t>
        </is>
      </c>
      <c r="G90" s="53" t="n">
        <v>6.919</v>
      </c>
      <c r="H90" s="16" t="n">
        <v>1228.68</v>
      </c>
      <c r="I90" s="16" t="n">
        <v>1429.19</v>
      </c>
      <c r="J90" s="16" t="n">
        <v>200.51</v>
      </c>
      <c r="K90" s="54" t="n">
        <v>0.1402962517230039</v>
      </c>
    </row>
    <row r="91">
      <c r="A91" s="49" t="n">
        <v>46201</v>
      </c>
      <c r="B91" s="7" t="inlineStr">
        <is>
          <t>2026-06</t>
        </is>
      </c>
      <c r="C91" s="8" t="inlineStr">
        <is>
          <t>Сигареты премиум</t>
        </is>
      </c>
      <c r="D91" s="8" t="inlineStr">
        <is>
          <t>Табак</t>
        </is>
      </c>
      <c r="E91" s="8" t="inlineStr">
        <is>
          <t>Касса №3 (табак)</t>
        </is>
      </c>
      <c r="F91" s="8" t="inlineStr">
        <is>
          <t>Петренко М.С.</t>
        </is>
      </c>
      <c r="G91" s="50" t="n">
        <v>24.46</v>
      </c>
      <c r="H91" s="10" t="n">
        <v>5196.28</v>
      </c>
      <c r="I91" s="10" t="n">
        <v>7880.52</v>
      </c>
      <c r="J91" s="10" t="n">
        <v>2684.24</v>
      </c>
      <c r="K91" s="51" t="n">
        <v>0.3406171166369731</v>
      </c>
    </row>
    <row r="92">
      <c r="A92" s="52" t="n">
        <v>46202</v>
      </c>
      <c r="B92" s="13" t="inlineStr">
        <is>
          <t>2026-06</t>
        </is>
      </c>
      <c r="C92" s="14" t="inlineStr">
        <is>
          <t>Йогурт 150г</t>
        </is>
      </c>
      <c r="D92" s="14" t="inlineStr">
        <is>
          <t>Молочные</t>
        </is>
      </c>
      <c r="E92" s="14" t="inlineStr">
        <is>
          <t>Касса №1 (зал)</t>
        </is>
      </c>
      <c r="F92" s="14" t="inlineStr">
        <is>
          <t>Петренко М.С.</t>
        </is>
      </c>
      <c r="G92" s="53" t="n">
        <v>34.537</v>
      </c>
      <c r="H92" s="16" t="n">
        <v>4503.62</v>
      </c>
      <c r="I92" s="16" t="n">
        <v>6355.15</v>
      </c>
      <c r="J92" s="16" t="n">
        <v>1851.53</v>
      </c>
      <c r="K92" s="54" t="n">
        <v>0.2913432413082304</v>
      </c>
    </row>
    <row r="93">
      <c r="A93" s="49" t="n">
        <v>46203</v>
      </c>
      <c r="B93" s="7" t="inlineStr">
        <is>
          <t>2026-06</t>
        </is>
      </c>
      <c r="C93" s="8" t="inlineStr">
        <is>
          <t>Вода 1.5л</t>
        </is>
      </c>
      <c r="D93" s="8" t="inlineStr">
        <is>
          <t>Напитки</t>
        </is>
      </c>
      <c r="E93" s="8" t="inlineStr">
        <is>
          <t>Касса №2 (зал)</t>
        </is>
      </c>
      <c r="F93" s="8" t="inlineStr">
        <is>
          <t>Иванова А.П.</t>
        </is>
      </c>
      <c r="G93" s="50" t="n">
        <v>5.541</v>
      </c>
      <c r="H93" s="10" t="n">
        <v>775.3</v>
      </c>
      <c r="I93" s="10" t="n">
        <v>847.16</v>
      </c>
      <c r="J93" s="10" t="n">
        <v>71.86</v>
      </c>
      <c r="K93" s="51" t="n">
        <v>0.08482459039614713</v>
      </c>
    </row>
    <row r="94">
      <c r="A94" s="52" t="n">
        <v>46203</v>
      </c>
      <c r="B94" s="13" t="inlineStr">
        <is>
          <t>2026-06</t>
        </is>
      </c>
      <c r="C94" s="14" t="inlineStr">
        <is>
          <t>Сигареты премиум</t>
        </is>
      </c>
      <c r="D94" s="14" t="inlineStr">
        <is>
          <t>Табак</t>
        </is>
      </c>
      <c r="E94" s="14" t="inlineStr">
        <is>
          <t>Касса №3 (табак)</t>
        </is>
      </c>
      <c r="F94" s="14" t="inlineStr">
        <is>
          <t>Петренко М.С.</t>
        </is>
      </c>
      <c r="G94" s="53" t="n">
        <v>4.703</v>
      </c>
      <c r="H94" s="16" t="n">
        <v>661.05</v>
      </c>
      <c r="I94" s="16" t="n">
        <v>975.45</v>
      </c>
      <c r="J94" s="16" t="n">
        <v>314.4</v>
      </c>
      <c r="K94" s="54" t="n">
        <v>0.322312778717515</v>
      </c>
    </row>
  </sheetData>
  <autoFilter ref="A4:K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Рентабельность с учётом списаний (оценка себестоимости)</t>
        </is>
      </c>
    </row>
    <row r="2">
      <c r="A2" s="2" t="inlineStr">
        <is>
          <t>СписаниеТовара в PTM хранит только количество. Сумма списания = Кол-во × закупочная цена (оценка). Прибыль скорр. = Валовая прибыль продаж − Сумма списаний. Рент. продаж % ≠ Рент. с учётом списаний %.</t>
        </is>
      </c>
    </row>
    <row r="4" ht="32" customHeight="1">
      <c r="A4" s="65" t="inlineStr">
        <is>
          <t>Продажи</t>
        </is>
      </c>
      <c r="B4" s="66" t="inlineStr">
        <is>
          <t>Себест. продаж</t>
        </is>
      </c>
      <c r="C4" s="67" t="inlineStr">
        <is>
          <t>Валовая (продажи)</t>
        </is>
      </c>
      <c r="D4" s="68" t="inlineStr">
        <is>
          <t>Потери списаний</t>
        </is>
      </c>
      <c r="E4" s="69" t="inlineStr">
        <is>
          <t>Прибыль скорр.</t>
        </is>
      </c>
      <c r="F4" s="70" t="inlineStr">
        <is>
          <t>Рент. продаж %</t>
        </is>
      </c>
      <c r="G4" s="65" t="inlineStr">
        <is>
          <t>Рент. скорр. %</t>
        </is>
      </c>
    </row>
    <row r="5" ht="28" customHeight="1">
      <c r="A5" s="71" t="n">
        <v>289175.66</v>
      </c>
      <c r="B5" s="72" t="n">
        <v>220379.79</v>
      </c>
      <c r="C5" s="73" t="n">
        <v>68795.87</v>
      </c>
      <c r="D5" s="74" t="n">
        <v>18395.53</v>
      </c>
      <c r="E5" s="75" t="n">
        <v>50400.34</v>
      </c>
      <c r="F5" s="76" t="n">
        <v>0.2379</v>
      </c>
      <c r="G5" s="77" t="n">
        <v>0.1743</v>
      </c>
    </row>
    <row r="7">
      <c r="A7" s="33" t="inlineStr">
        <is>
          <t>Сводка по номенклатуре: продажи vs списания</t>
        </is>
      </c>
    </row>
    <row r="8" ht="36" customHeight="1">
      <c r="A8" s="5" t="inlineStr">
        <is>
          <t>Номенклатура</t>
        </is>
      </c>
      <c r="B8" s="5" t="inlineStr">
        <is>
          <t>Группа</t>
        </is>
      </c>
      <c r="C8" s="5" t="inlineStr">
        <is>
          <t>Продажи</t>
        </is>
      </c>
      <c r="D8" s="5" t="inlineStr">
        <is>
          <t>Себест. продаж</t>
        </is>
      </c>
      <c r="E8" s="5" t="inlineStr">
        <is>
          <t>Валовая прибыль</t>
        </is>
      </c>
      <c r="F8" s="5" t="inlineStr">
        <is>
          <t>Рент. продаж %</t>
        </is>
      </c>
      <c r="G8" s="5" t="inlineStr">
        <is>
          <t>Списано (кол-во)</t>
        </is>
      </c>
      <c r="H8" s="5" t="inlineStr">
        <is>
          <t>Сумма списаний</t>
        </is>
      </c>
      <c r="I8" s="5" t="inlineStr">
        <is>
          <t>Прибыль скорр.</t>
        </is>
      </c>
      <c r="J8" s="5" t="inlineStr">
        <is>
          <t>Рент. скорр. %</t>
        </is>
      </c>
      <c r="K8" s="5" t="inlineStr">
        <is>
          <t>Доля списаний в COGS %</t>
        </is>
      </c>
    </row>
    <row r="9">
      <c r="A9" s="4" t="inlineStr">
        <is>
          <t>Шоколад 90г</t>
        </is>
      </c>
      <c r="B9" s="4" t="inlineStr">
        <is>
          <t>Кондитерка</t>
        </is>
      </c>
      <c r="C9" s="78" t="n">
        <v>26936.86</v>
      </c>
      <c r="D9" s="78" t="n">
        <v>19239.72</v>
      </c>
      <c r="E9" s="78" t="n">
        <v>7697.14</v>
      </c>
      <c r="F9" s="79" t="n">
        <v>0.2857474850446563</v>
      </c>
      <c r="G9" s="80" t="n">
        <v>12.169</v>
      </c>
      <c r="H9" s="81" t="n">
        <v>1494.4</v>
      </c>
      <c r="I9" s="78" t="n">
        <v>6202.74</v>
      </c>
      <c r="J9" s="79" t="n">
        <v>0.2302696008369202</v>
      </c>
      <c r="K9" s="79" t="n">
        <v>0.07767264804269501</v>
      </c>
    </row>
    <row r="10">
      <c r="A10" s="82" t="inlineStr">
        <is>
          <t>Вода 1.5л</t>
        </is>
      </c>
      <c r="B10" s="82" t="inlineStr">
        <is>
          <t>Напитки</t>
        </is>
      </c>
      <c r="C10" s="83" t="n">
        <v>27041.63</v>
      </c>
      <c r="D10" s="83" t="n">
        <v>21103.28</v>
      </c>
      <c r="E10" s="83" t="n">
        <v>5938.35</v>
      </c>
      <c r="F10" s="84" t="n">
        <v>0.2196002977631156</v>
      </c>
      <c r="G10" s="80" t="n">
        <v>1.803</v>
      </c>
      <c r="H10" s="81" t="n">
        <v>264.37</v>
      </c>
      <c r="I10" s="83" t="n">
        <v>5673.98</v>
      </c>
      <c r="J10" s="84" t="n">
        <v>0.209823890053965</v>
      </c>
      <c r="K10" s="84" t="n">
        <v>0.01252743649328445</v>
      </c>
    </row>
    <row r="11">
      <c r="A11" s="4" t="inlineStr">
        <is>
          <t>Колбаса варёная 400г</t>
        </is>
      </c>
      <c r="B11" s="4" t="inlineStr">
        <is>
          <t>Мясо</t>
        </is>
      </c>
      <c r="C11" s="78" t="n">
        <v>16874.58</v>
      </c>
      <c r="D11" s="78" t="n">
        <v>12075.5</v>
      </c>
      <c r="E11" s="78" t="n">
        <v>4799.08</v>
      </c>
      <c r="F11" s="79" t="n">
        <v>0.2843970042513651</v>
      </c>
      <c r="G11" s="85" t="n">
        <v>0</v>
      </c>
      <c r="H11" s="78" t="n">
        <v>0</v>
      </c>
      <c r="I11" s="78" t="n">
        <v>4799.08</v>
      </c>
      <c r="J11" s="79" t="n">
        <v>0.2843970042513651</v>
      </c>
      <c r="K11" s="79" t="n">
        <v>0</v>
      </c>
    </row>
    <row r="12">
      <c r="A12" s="82" t="inlineStr">
        <is>
          <t>Курица охлажд. кг</t>
        </is>
      </c>
      <c r="B12" s="82" t="inlineStr">
        <is>
          <t>Мясо</t>
        </is>
      </c>
      <c r="C12" s="83" t="n">
        <v>21521.92</v>
      </c>
      <c r="D12" s="83" t="n">
        <v>16066.59</v>
      </c>
      <c r="E12" s="83" t="n">
        <v>5455.33</v>
      </c>
      <c r="F12" s="84" t="n">
        <v>0.2534778495598906</v>
      </c>
      <c r="G12" s="80" t="n">
        <v>7.111</v>
      </c>
      <c r="H12" s="81" t="n">
        <v>884.25</v>
      </c>
      <c r="I12" s="83" t="n">
        <v>4571.08</v>
      </c>
      <c r="J12" s="84" t="n">
        <v>0.2123918312120852</v>
      </c>
      <c r="K12" s="84" t="n">
        <v>0.0550365696765773</v>
      </c>
    </row>
    <row r="13">
      <c r="A13" s="4" t="inlineStr">
        <is>
          <t>Йогурт 150г</t>
        </is>
      </c>
      <c r="B13" s="4" t="inlineStr">
        <is>
          <t>Молочные</t>
        </is>
      </c>
      <c r="C13" s="78" t="n">
        <v>15300.44</v>
      </c>
      <c r="D13" s="78" t="n">
        <v>10888.76</v>
      </c>
      <c r="E13" s="78" t="n">
        <v>4411.68</v>
      </c>
      <c r="F13" s="79" t="n">
        <v>0.2883368060003503</v>
      </c>
      <c r="G13" s="80" t="n">
        <v>0.703</v>
      </c>
      <c r="H13" s="81" t="n">
        <v>88.84999999999999</v>
      </c>
      <c r="I13" s="78" t="n">
        <v>4322.83</v>
      </c>
      <c r="J13" s="79" t="n">
        <v>0.2825297834572077</v>
      </c>
      <c r="K13" s="79" t="n">
        <v>0.008159790462825887</v>
      </c>
    </row>
    <row r="14">
      <c r="A14" s="82" t="inlineStr">
        <is>
          <t>Яблоки кг</t>
        </is>
      </c>
      <c r="B14" s="82" t="inlineStr">
        <is>
          <t>Овощи-фрукты</t>
        </is>
      </c>
      <c r="C14" s="83" t="n">
        <v>15865.31</v>
      </c>
      <c r="D14" s="83" t="n">
        <v>11282.99</v>
      </c>
      <c r="E14" s="83" t="n">
        <v>4582.32</v>
      </c>
      <c r="F14" s="84" t="n">
        <v>0.2888263765410193</v>
      </c>
      <c r="G14" s="80" t="n">
        <v>7.562</v>
      </c>
      <c r="H14" s="81" t="n">
        <v>654.49</v>
      </c>
      <c r="I14" s="83" t="n">
        <v>3927.83</v>
      </c>
      <c r="J14" s="84" t="n">
        <v>0.2475734794970915</v>
      </c>
      <c r="K14" s="84" t="n">
        <v>0.05800678720800072</v>
      </c>
    </row>
    <row r="15">
      <c r="A15" s="4" t="inlineStr">
        <is>
          <t>Хлеб белый 500г</t>
        </is>
      </c>
      <c r="B15" s="4" t="inlineStr">
        <is>
          <t>Хлеб</t>
        </is>
      </c>
      <c r="C15" s="78" t="n">
        <v>24395.67</v>
      </c>
      <c r="D15" s="78" t="n">
        <v>19453.68</v>
      </c>
      <c r="E15" s="78" t="n">
        <v>4941.99</v>
      </c>
      <c r="F15" s="79" t="n">
        <v>0.2025765228009725</v>
      </c>
      <c r="G15" s="80" t="n">
        <v>11.439</v>
      </c>
      <c r="H15" s="81" t="n">
        <v>1525.39</v>
      </c>
      <c r="I15" s="78" t="n">
        <v>3416.6</v>
      </c>
      <c r="J15" s="79" t="n">
        <v>0.1400494432003712</v>
      </c>
      <c r="K15" s="79" t="n">
        <v>0.07841138540368713</v>
      </c>
    </row>
    <row r="16">
      <c r="A16" s="82" t="inlineStr">
        <is>
          <t>Чай чёрный 100пак</t>
        </is>
      </c>
      <c r="B16" s="82" t="inlineStr">
        <is>
          <t>Напитки</t>
        </is>
      </c>
      <c r="C16" s="83" t="n">
        <v>15652.35</v>
      </c>
      <c r="D16" s="83" t="n">
        <v>11290.96</v>
      </c>
      <c r="E16" s="83" t="n">
        <v>4361.39</v>
      </c>
      <c r="F16" s="84" t="n">
        <v>0.2786412263973141</v>
      </c>
      <c r="G16" s="80" t="n">
        <v>9.936999999999999</v>
      </c>
      <c r="H16" s="81" t="n">
        <v>1443.95</v>
      </c>
      <c r="I16" s="83" t="n">
        <v>2917.44</v>
      </c>
      <c r="J16" s="84" t="n">
        <v>0.18638990311359</v>
      </c>
      <c r="K16" s="84" t="n">
        <v>0.1278854942360969</v>
      </c>
    </row>
    <row r="17">
      <c r="A17" s="4" t="inlineStr">
        <is>
          <t>Сигареты премиум</t>
        </is>
      </c>
      <c r="B17" s="4" t="inlineStr">
        <is>
          <t>Табак</t>
        </is>
      </c>
      <c r="C17" s="78" t="n">
        <v>17558.49</v>
      </c>
      <c r="D17" s="78" t="n">
        <v>13108.51</v>
      </c>
      <c r="E17" s="78" t="n">
        <v>4449.98</v>
      </c>
      <c r="F17" s="79" t="n">
        <v>0.2534375108565713</v>
      </c>
      <c r="G17" s="80" t="n">
        <v>13.478</v>
      </c>
      <c r="H17" s="81" t="n">
        <v>1895.91</v>
      </c>
      <c r="I17" s="78" t="n">
        <v>2554.07</v>
      </c>
      <c r="J17" s="79" t="n">
        <v>0.1454606859701489</v>
      </c>
      <c r="K17" s="79" t="n">
        <v>0.1446319986024346</v>
      </c>
    </row>
    <row r="18">
      <c r="A18" s="82" t="inlineStr">
        <is>
          <t>Бананы кг</t>
        </is>
      </c>
      <c r="B18" s="82" t="inlineStr">
        <is>
          <t>Овощи-фрукты</t>
        </is>
      </c>
      <c r="C18" s="83" t="n">
        <v>13072.15</v>
      </c>
      <c r="D18" s="83" t="n">
        <v>10592.06</v>
      </c>
      <c r="E18" s="83" t="n">
        <v>2480.09</v>
      </c>
      <c r="F18" s="84" t="n">
        <v>0.189723190140872</v>
      </c>
      <c r="G18" s="86" t="n">
        <v>0</v>
      </c>
      <c r="H18" s="83" t="n">
        <v>0</v>
      </c>
      <c r="I18" s="83" t="n">
        <v>2480.09</v>
      </c>
      <c r="J18" s="84" t="n">
        <v>0.189723190140872</v>
      </c>
      <c r="K18" s="84" t="n">
        <v>0</v>
      </c>
    </row>
    <row r="19">
      <c r="A19" s="4" t="inlineStr">
        <is>
          <t>Кофе молотый 250г</t>
        </is>
      </c>
      <c r="B19" s="4" t="inlineStr">
        <is>
          <t>Напитки</t>
        </is>
      </c>
      <c r="C19" s="78" t="n">
        <v>14543.14</v>
      </c>
      <c r="D19" s="78" t="n">
        <v>10779.7</v>
      </c>
      <c r="E19" s="78" t="n">
        <v>3763.44</v>
      </c>
      <c r="F19" s="79" t="n">
        <v>0.2587776779980114</v>
      </c>
      <c r="G19" s="80" t="n">
        <v>16.363</v>
      </c>
      <c r="H19" s="81" t="n">
        <v>1575.33</v>
      </c>
      <c r="I19" s="78" t="n">
        <v>2188.11</v>
      </c>
      <c r="J19" s="79" t="n">
        <v>0.1504565038911817</v>
      </c>
      <c r="K19" s="79" t="n">
        <v>0.1461385752850265</v>
      </c>
    </row>
    <row r="20">
      <c r="A20" s="82" t="inlineStr">
        <is>
          <t>Картофель кг</t>
        </is>
      </c>
      <c r="B20" s="82" t="inlineStr">
        <is>
          <t>Овощи-фрукты</t>
        </is>
      </c>
      <c r="C20" s="83" t="n">
        <v>11410.63</v>
      </c>
      <c r="D20" s="83" t="n">
        <v>9484.370000000001</v>
      </c>
      <c r="E20" s="83" t="n">
        <v>1926.26</v>
      </c>
      <c r="F20" s="84" t="n">
        <v>0.1688127649393592</v>
      </c>
      <c r="G20" s="86" t="n">
        <v>0</v>
      </c>
      <c r="H20" s="83" t="n">
        <v>0</v>
      </c>
      <c r="I20" s="83" t="n">
        <v>1926.26</v>
      </c>
      <c r="J20" s="84" t="n">
        <v>0.1688127649393592</v>
      </c>
      <c r="K20" s="84" t="n">
        <v>0</v>
      </c>
    </row>
    <row r="21">
      <c r="A21" s="4" t="inlineStr">
        <is>
          <t>Рис 1кг</t>
        </is>
      </c>
      <c r="B21" s="4" t="inlineStr">
        <is>
          <t>Бакалея</t>
        </is>
      </c>
      <c r="C21" s="78" t="n">
        <v>10985.09</v>
      </c>
      <c r="D21" s="78" t="n">
        <v>8347.129999999999</v>
      </c>
      <c r="E21" s="78" t="n">
        <v>2637.96</v>
      </c>
      <c r="F21" s="79" t="n">
        <v>0.2401400443692314</v>
      </c>
      <c r="G21" s="80" t="n">
        <v>11.851</v>
      </c>
      <c r="H21" s="81" t="n">
        <v>1058.6</v>
      </c>
      <c r="I21" s="78" t="n">
        <v>1579.36</v>
      </c>
      <c r="J21" s="79" t="n">
        <v>0.1437730596654192</v>
      </c>
      <c r="K21" s="79" t="n">
        <v>0.1268220334414344</v>
      </c>
    </row>
    <row r="22">
      <c r="A22" s="82" t="inlineStr">
        <is>
          <t>Сахар 1кг</t>
        </is>
      </c>
      <c r="B22" s="82" t="inlineStr">
        <is>
          <t>Бакалея</t>
        </is>
      </c>
      <c r="C22" s="83" t="n">
        <v>3667.4</v>
      </c>
      <c r="D22" s="83" t="n">
        <v>2441.89</v>
      </c>
      <c r="E22" s="83" t="n">
        <v>1225.51</v>
      </c>
      <c r="F22" s="84" t="n">
        <v>0.3341631673665267</v>
      </c>
      <c r="G22" s="80" t="n">
        <v>2.091</v>
      </c>
      <c r="H22" s="81" t="n">
        <v>151.22</v>
      </c>
      <c r="I22" s="83" t="n">
        <v>1074.29</v>
      </c>
      <c r="J22" s="84" t="n">
        <v>0.292929595899002</v>
      </c>
      <c r="K22" s="84" t="n">
        <v>0.06192744144904153</v>
      </c>
    </row>
    <row r="23">
      <c r="A23" s="4" t="inlineStr">
        <is>
          <t>Масло подсолн. 1л</t>
        </is>
      </c>
      <c r="B23" s="4" t="inlineStr">
        <is>
          <t>Бакалея</t>
        </is>
      </c>
      <c r="C23" s="78" t="n">
        <v>19940.83</v>
      </c>
      <c r="D23" s="78" t="n">
        <v>15770.9</v>
      </c>
      <c r="E23" s="78" t="n">
        <v>4169.93</v>
      </c>
      <c r="F23" s="79" t="n">
        <v>0.2091151672222269</v>
      </c>
      <c r="G23" s="80" t="n">
        <v>20.242</v>
      </c>
      <c r="H23" s="81" t="n">
        <v>3101.6</v>
      </c>
      <c r="I23" s="78" t="n">
        <v>1068.33</v>
      </c>
      <c r="J23" s="79" t="n">
        <v>0.05357500164235886</v>
      </c>
      <c r="K23" s="79" t="n">
        <v>0.1966660114514708</v>
      </c>
    </row>
    <row r="24">
      <c r="A24" s="82" t="inlineStr">
        <is>
          <t>Молоко 2.5% 1л</t>
        </is>
      </c>
      <c r="B24" s="82" t="inlineStr">
        <is>
          <t>Молочные</t>
        </is>
      </c>
      <c r="C24" s="83" t="n">
        <v>11748.6</v>
      </c>
      <c r="D24" s="83" t="n">
        <v>9672.32</v>
      </c>
      <c r="E24" s="83" t="n">
        <v>2076.28</v>
      </c>
      <c r="F24" s="84" t="n">
        <v>0.176725737534685</v>
      </c>
      <c r="G24" s="80" t="n">
        <v>11.105</v>
      </c>
      <c r="H24" s="81" t="n">
        <v>1049.76</v>
      </c>
      <c r="I24" s="83" t="n">
        <v>1026.52</v>
      </c>
      <c r="J24" s="84" t="n">
        <v>0.087373814752396</v>
      </c>
      <c r="K24" s="84" t="n">
        <v>0.1085323893336862</v>
      </c>
    </row>
    <row r="25">
      <c r="A25" s="4" t="inlineStr">
        <is>
          <t>Сыр Гауда 200г</t>
        </is>
      </c>
      <c r="B25" s="4" t="inlineStr">
        <is>
          <t>Молочные</t>
        </is>
      </c>
      <c r="C25" s="78" t="n">
        <v>5879.52</v>
      </c>
      <c r="D25" s="78" t="n">
        <v>4615.68</v>
      </c>
      <c r="E25" s="78" t="n">
        <v>1263.84</v>
      </c>
      <c r="F25" s="79" t="n">
        <v>0.2149563229651401</v>
      </c>
      <c r="G25" s="80" t="n">
        <v>6.452</v>
      </c>
      <c r="H25" s="81" t="n">
        <v>481.25</v>
      </c>
      <c r="I25" s="78" t="n">
        <v>782.59</v>
      </c>
      <c r="J25" s="79" t="n">
        <v>0.1331044030805236</v>
      </c>
      <c r="K25" s="79" t="n">
        <v>0.104264160427066</v>
      </c>
    </row>
    <row r="26">
      <c r="A26" s="82" t="inlineStr">
        <is>
          <t>Яйца С1 10шт</t>
        </is>
      </c>
      <c r="B26" s="82" t="inlineStr">
        <is>
          <t>Яйца</t>
        </is>
      </c>
      <c r="C26" s="83" t="n">
        <v>10010.22</v>
      </c>
      <c r="D26" s="83" t="n">
        <v>8425.1</v>
      </c>
      <c r="E26" s="83" t="n">
        <v>1585.12</v>
      </c>
      <c r="F26" s="84" t="n">
        <v>0.1583501661302149</v>
      </c>
      <c r="G26" s="80" t="n">
        <v>14.335</v>
      </c>
      <c r="H26" s="81" t="n">
        <v>1418.97</v>
      </c>
      <c r="I26" s="83" t="n">
        <v>166.15</v>
      </c>
      <c r="J26" s="84" t="n">
        <v>0.01659803680638386</v>
      </c>
      <c r="K26" s="84" t="n">
        <v>0.168421739801308</v>
      </c>
    </row>
    <row r="27">
      <c r="A27" s="4" t="inlineStr">
        <is>
          <t>Печенье 300г</t>
        </is>
      </c>
      <c r="B27" s="4" t="inlineStr">
        <is>
          <t>Кондитерка</t>
        </is>
      </c>
      <c r="C27" s="78" t="n">
        <v>6770.83</v>
      </c>
      <c r="D27" s="78" t="n">
        <v>5740.65</v>
      </c>
      <c r="E27" s="78" t="n">
        <v>1030.18</v>
      </c>
      <c r="F27" s="79" t="n">
        <v>0.1521497364429472</v>
      </c>
      <c r="G27" s="80" t="n">
        <v>7.29</v>
      </c>
      <c r="H27" s="81" t="n">
        <v>1307.19</v>
      </c>
      <c r="I27" s="87" t="n">
        <v>-277.01</v>
      </c>
      <c r="J27" s="79" t="n">
        <v>-0.04091226629526956</v>
      </c>
      <c r="K27" s="79" t="n">
        <v>0.2277076637662982</v>
      </c>
    </row>
    <row r="28">
      <c r="A28" s="27" t="inlineStr">
        <is>
          <t>ИТОГО</t>
        </is>
      </c>
      <c r="B28" s="27" t="inlineStr"/>
      <c r="C28" s="29" t="n">
        <v>289175.66</v>
      </c>
      <c r="D28" s="29" t="n">
        <v>220379.79</v>
      </c>
      <c r="E28" s="29" t="n">
        <v>68795.87</v>
      </c>
      <c r="F28" s="60" t="n">
        <v>0.2379033906242317</v>
      </c>
      <c r="G28" s="59" t="n">
        <v>153.931</v>
      </c>
      <c r="H28" s="29" t="n">
        <v>18395.53</v>
      </c>
      <c r="I28" s="29" t="n">
        <v>50400.34</v>
      </c>
      <c r="J28" s="60" t="n">
        <v>0.1742897033588512</v>
      </c>
      <c r="K28" s="60" t="n">
        <v>0.08347194631594849</v>
      </c>
    </row>
    <row r="31">
      <c r="A31" s="33" t="inlineStr">
        <is>
          <t>Топ-10 по валовой (продажи): сравнение</t>
        </is>
      </c>
    </row>
    <row r="32">
      <c r="A32" s="5" t="inlineStr">
        <is>
          <t>Номенклатура</t>
        </is>
      </c>
      <c r="B32" s="5" t="inlineStr">
        <is>
          <t>Валовая (продажи)</t>
        </is>
      </c>
      <c r="C32" s="5" t="inlineStr">
        <is>
          <t>Списания</t>
        </is>
      </c>
      <c r="D32" s="5" t="inlineStr">
        <is>
          <t>Прибыль скорр.</t>
        </is>
      </c>
    </row>
    <row r="33">
      <c r="A33" s="4" t="inlineStr">
        <is>
          <t>Шоколад 90г</t>
        </is>
      </c>
      <c r="B33" s="78" t="n">
        <v>7697.14</v>
      </c>
      <c r="C33" s="78" t="n">
        <v>1494.4</v>
      </c>
      <c r="D33" s="78" t="n">
        <v>6202.74</v>
      </c>
    </row>
    <row r="34">
      <c r="A34" s="82" t="inlineStr">
        <is>
          <t>Вода 1.5л</t>
        </is>
      </c>
      <c r="B34" s="83" t="n">
        <v>5938.35</v>
      </c>
      <c r="C34" s="83" t="n">
        <v>264.37</v>
      </c>
      <c r="D34" s="83" t="n">
        <v>5673.98</v>
      </c>
    </row>
    <row r="35">
      <c r="A35" s="4" t="inlineStr">
        <is>
          <t>Курица охлажд. кг</t>
        </is>
      </c>
      <c r="B35" s="78" t="n">
        <v>5455.33</v>
      </c>
      <c r="C35" s="78" t="n">
        <v>884.25</v>
      </c>
      <c r="D35" s="78" t="n">
        <v>4571.08</v>
      </c>
    </row>
    <row r="36">
      <c r="A36" s="82" t="inlineStr">
        <is>
          <t>Хлеб белый 500г</t>
        </is>
      </c>
      <c r="B36" s="83" t="n">
        <v>4941.99</v>
      </c>
      <c r="C36" s="83" t="n">
        <v>1525.39</v>
      </c>
      <c r="D36" s="83" t="n">
        <v>3416.6</v>
      </c>
    </row>
    <row r="37">
      <c r="A37" s="4" t="inlineStr">
        <is>
          <t>Колбаса варёная 400г</t>
        </is>
      </c>
      <c r="B37" s="78" t="n">
        <v>4799.08</v>
      </c>
      <c r="C37" s="78" t="n">
        <v>0</v>
      </c>
      <c r="D37" s="78" t="n">
        <v>4799.08</v>
      </c>
    </row>
    <row r="38">
      <c r="A38" s="82" t="inlineStr">
        <is>
          <t>Яблоки кг</t>
        </is>
      </c>
      <c r="B38" s="83" t="n">
        <v>4582.32</v>
      </c>
      <c r="C38" s="83" t="n">
        <v>654.49</v>
      </c>
      <c r="D38" s="83" t="n">
        <v>3927.83</v>
      </c>
    </row>
    <row r="39">
      <c r="A39" s="4" t="inlineStr">
        <is>
          <t>Сигареты премиум</t>
        </is>
      </c>
      <c r="B39" s="78" t="n">
        <v>4449.98</v>
      </c>
      <c r="C39" s="78" t="n">
        <v>1895.91</v>
      </c>
      <c r="D39" s="78" t="n">
        <v>2554.07</v>
      </c>
    </row>
    <row r="40">
      <c r="A40" s="82" t="inlineStr">
        <is>
          <t>Йогурт 150г</t>
        </is>
      </c>
      <c r="B40" s="83" t="n">
        <v>4411.68</v>
      </c>
      <c r="C40" s="83" t="n">
        <v>88.84999999999999</v>
      </c>
      <c r="D40" s="83" t="n">
        <v>4322.83</v>
      </c>
    </row>
    <row r="41">
      <c r="A41" s="4" t="inlineStr">
        <is>
          <t>Чай чёрный 100пак</t>
        </is>
      </c>
      <c r="B41" s="78" t="n">
        <v>4361.39</v>
      </c>
      <c r="C41" s="78" t="n">
        <v>1443.95</v>
      </c>
      <c r="D41" s="78" t="n">
        <v>2917.44</v>
      </c>
    </row>
    <row r="42">
      <c r="A42" s="82" t="inlineStr">
        <is>
          <t>Масло подсолн. 1л</t>
        </is>
      </c>
      <c r="B42" s="83" t="n">
        <v>4169.93</v>
      </c>
      <c r="C42" s="83" t="n">
        <v>3101.6</v>
      </c>
      <c r="D42" s="83" t="n">
        <v>1068.33</v>
      </c>
    </row>
    <row r="46">
      <c r="A46" s="33" t="inlineStr">
        <is>
          <t>Детализация списаний (оценка)</t>
        </is>
      </c>
    </row>
    <row r="47">
      <c r="A47" s="2" t="inlineStr">
        <is>
          <t>В PTM: документ СписаниеТовара → только количество; сумма = кол-во × закупочная (здесь — случайная оценка).</t>
        </is>
      </c>
    </row>
    <row r="48">
      <c r="A48" s="5" t="inlineStr">
        <is>
          <t>Дата</t>
        </is>
      </c>
      <c r="B48" s="5" t="inlineStr">
        <is>
          <t>Номенклатура</t>
        </is>
      </c>
      <c r="C48" s="5" t="inlineStr">
        <is>
          <t>Группа</t>
        </is>
      </c>
      <c r="D48" s="5" t="inlineStr">
        <is>
          <t>Количество</t>
        </is>
      </c>
      <c r="E48" s="5" t="inlineStr">
        <is>
          <t>Цена закуп (оценка)</t>
        </is>
      </c>
      <c r="F48" s="5" t="inlineStr">
        <is>
          <t>Сумма списания</t>
        </is>
      </c>
      <c r="G48" s="5" t="inlineStr">
        <is>
          <t>Причина</t>
        </is>
      </c>
    </row>
    <row r="49">
      <c r="A49" s="88" t="n">
        <v>46175</v>
      </c>
      <c r="B49" s="4" t="inlineStr">
        <is>
          <t>Курица охлажд. кг</t>
        </is>
      </c>
      <c r="C49" s="4" t="inlineStr">
        <is>
          <t>Мясо</t>
        </is>
      </c>
      <c r="D49" s="85" t="n">
        <v>7.111</v>
      </c>
      <c r="E49" s="78" t="n">
        <v>124.35</v>
      </c>
      <c r="F49" s="78" t="n">
        <v>884.25</v>
      </c>
      <c r="G49" s="4" t="inlineStr">
        <is>
          <t>Недостача инвентаризации</t>
        </is>
      </c>
    </row>
    <row r="50">
      <c r="A50" s="89" t="n">
        <v>46176</v>
      </c>
      <c r="B50" s="82" t="inlineStr">
        <is>
          <t>Рис 1кг</t>
        </is>
      </c>
      <c r="C50" s="82" t="inlineStr">
        <is>
          <t>Бакалея</t>
        </is>
      </c>
      <c r="D50" s="86" t="n">
        <v>4.578</v>
      </c>
      <c r="E50" s="83" t="n">
        <v>89.7</v>
      </c>
      <c r="F50" s="83" t="n">
        <v>410.65</v>
      </c>
      <c r="G50" s="82" t="inlineStr">
        <is>
          <t>Бой/брак</t>
        </is>
      </c>
    </row>
    <row r="51">
      <c r="A51" s="88" t="n">
        <v>46178</v>
      </c>
      <c r="B51" s="4" t="inlineStr">
        <is>
          <t>Сыр Гауда 200г</t>
        </is>
      </c>
      <c r="C51" s="4" t="inlineStr">
        <is>
          <t>Молочные</t>
        </is>
      </c>
      <c r="D51" s="85" t="n">
        <v>6.452</v>
      </c>
      <c r="E51" s="78" t="n">
        <v>74.59</v>
      </c>
      <c r="F51" s="78" t="n">
        <v>481.25</v>
      </c>
      <c r="G51" s="4" t="inlineStr">
        <is>
          <t>Недостача инвентаризации</t>
        </is>
      </c>
    </row>
    <row r="52">
      <c r="A52" s="89" t="n">
        <v>46180</v>
      </c>
      <c r="B52" s="82" t="inlineStr">
        <is>
          <t>Яблоки кг</t>
        </is>
      </c>
      <c r="C52" s="82" t="inlineStr">
        <is>
          <t>Овощи-фрукты</t>
        </is>
      </c>
      <c r="D52" s="86" t="n">
        <v>7.562</v>
      </c>
      <c r="E52" s="83" t="n">
        <v>86.55</v>
      </c>
      <c r="F52" s="83" t="n">
        <v>654.49</v>
      </c>
      <c r="G52" s="82" t="inlineStr">
        <is>
          <t>Порча</t>
        </is>
      </c>
    </row>
    <row r="53">
      <c r="A53" s="88" t="n">
        <v>46181</v>
      </c>
      <c r="B53" s="4" t="inlineStr">
        <is>
          <t>Рис 1кг</t>
        </is>
      </c>
      <c r="C53" s="4" t="inlineStr">
        <is>
          <t>Бакалея</t>
        </is>
      </c>
      <c r="D53" s="85" t="n">
        <v>7.273</v>
      </c>
      <c r="E53" s="78" t="n">
        <v>89.09</v>
      </c>
      <c r="F53" s="78" t="n">
        <v>647.95</v>
      </c>
      <c r="G53" s="4" t="inlineStr">
        <is>
          <t>Бой/брак</t>
        </is>
      </c>
    </row>
    <row r="54">
      <c r="A54" s="89" t="n">
        <v>46183</v>
      </c>
      <c r="B54" s="82" t="inlineStr">
        <is>
          <t>Сигареты премиум</t>
        </is>
      </c>
      <c r="C54" s="82" t="inlineStr">
        <is>
          <t>Табак</t>
        </is>
      </c>
      <c r="D54" s="86" t="n">
        <v>1.601</v>
      </c>
      <c r="E54" s="83" t="n">
        <v>138.57</v>
      </c>
      <c r="F54" s="83" t="n">
        <v>221.85</v>
      </c>
      <c r="G54" s="82" t="inlineStr">
        <is>
          <t>Бой/брак</t>
        </is>
      </c>
    </row>
    <row r="55">
      <c r="A55" s="88" t="n">
        <v>46185</v>
      </c>
      <c r="B55" s="4" t="inlineStr">
        <is>
          <t>Чай чёрный 100пак</t>
        </is>
      </c>
      <c r="C55" s="4" t="inlineStr">
        <is>
          <t>Напитки</t>
        </is>
      </c>
      <c r="D55" s="85" t="n">
        <v>9.936999999999999</v>
      </c>
      <c r="E55" s="78" t="n">
        <v>145.31</v>
      </c>
      <c r="F55" s="78" t="n">
        <v>1443.95</v>
      </c>
      <c r="G55" s="4" t="inlineStr">
        <is>
          <t>Порча</t>
        </is>
      </c>
    </row>
    <row r="56">
      <c r="A56" s="89" t="n">
        <v>46186</v>
      </c>
      <c r="B56" s="82" t="inlineStr">
        <is>
          <t>Вода 1.5л</t>
        </is>
      </c>
      <c r="C56" s="82" t="inlineStr">
        <is>
          <t>Напитки</t>
        </is>
      </c>
      <c r="D56" s="86" t="n">
        <v>1.803</v>
      </c>
      <c r="E56" s="83" t="n">
        <v>146.63</v>
      </c>
      <c r="F56" s="83" t="n">
        <v>264.37</v>
      </c>
      <c r="G56" s="82" t="inlineStr">
        <is>
          <t>Бой/брак</t>
        </is>
      </c>
    </row>
    <row r="57">
      <c r="A57" s="88" t="n">
        <v>46186</v>
      </c>
      <c r="B57" s="4" t="inlineStr">
        <is>
          <t>Кофе молотый 250г</t>
        </is>
      </c>
      <c r="C57" s="4" t="inlineStr">
        <is>
          <t>Напитки</t>
        </is>
      </c>
      <c r="D57" s="85" t="n">
        <v>8.715999999999999</v>
      </c>
      <c r="E57" s="78" t="n">
        <v>100.04</v>
      </c>
      <c r="F57" s="78" t="n">
        <v>871.95</v>
      </c>
      <c r="G57" s="4" t="inlineStr">
        <is>
          <t>Порча</t>
        </is>
      </c>
    </row>
    <row r="58">
      <c r="A58" s="89" t="n">
        <v>46186</v>
      </c>
      <c r="B58" s="82" t="inlineStr">
        <is>
          <t>Масло подсолн. 1л</t>
        </is>
      </c>
      <c r="C58" s="82" t="inlineStr">
        <is>
          <t>Бакалея</t>
        </is>
      </c>
      <c r="D58" s="86" t="n">
        <v>3.164</v>
      </c>
      <c r="E58" s="83" t="n">
        <v>158.58</v>
      </c>
      <c r="F58" s="83" t="n">
        <v>501.75</v>
      </c>
      <c r="G58" s="82" t="inlineStr">
        <is>
          <t>Прочее</t>
        </is>
      </c>
    </row>
    <row r="59">
      <c r="A59" s="88" t="n">
        <v>46188</v>
      </c>
      <c r="B59" s="4" t="inlineStr">
        <is>
          <t>Яйца С1 10шт</t>
        </is>
      </c>
      <c r="C59" s="4" t="inlineStr">
        <is>
          <t>Яйца</t>
        </is>
      </c>
      <c r="D59" s="85" t="n">
        <v>2.537</v>
      </c>
      <c r="E59" s="78" t="n">
        <v>97.76000000000001</v>
      </c>
      <c r="F59" s="78" t="n">
        <v>248.02</v>
      </c>
      <c r="G59" s="4" t="inlineStr">
        <is>
          <t>Истёк срок</t>
        </is>
      </c>
    </row>
    <row r="60">
      <c r="A60" s="89" t="n">
        <v>46190</v>
      </c>
      <c r="B60" s="82" t="inlineStr">
        <is>
          <t>Яйца С1 10шт</t>
        </is>
      </c>
      <c r="C60" s="82" t="inlineStr">
        <is>
          <t>Яйца</t>
        </is>
      </c>
      <c r="D60" s="86" t="n">
        <v>11.798</v>
      </c>
      <c r="E60" s="83" t="n">
        <v>99.25</v>
      </c>
      <c r="F60" s="83" t="n">
        <v>1170.95</v>
      </c>
      <c r="G60" s="82" t="inlineStr">
        <is>
          <t>Бой/брак</t>
        </is>
      </c>
    </row>
    <row r="61">
      <c r="A61" s="88" t="n">
        <v>46191</v>
      </c>
      <c r="B61" s="4" t="inlineStr">
        <is>
          <t>Йогурт 150г</t>
        </is>
      </c>
      <c r="C61" s="4" t="inlineStr">
        <is>
          <t>Молочные</t>
        </is>
      </c>
      <c r="D61" s="85" t="n">
        <v>0.703</v>
      </c>
      <c r="E61" s="78" t="n">
        <v>126.38</v>
      </c>
      <c r="F61" s="78" t="n">
        <v>88.84999999999999</v>
      </c>
      <c r="G61" s="4" t="inlineStr">
        <is>
          <t>Истёк срок</t>
        </is>
      </c>
    </row>
    <row r="62">
      <c r="A62" s="89" t="n">
        <v>46191</v>
      </c>
      <c r="B62" s="82" t="inlineStr">
        <is>
          <t>Кофе молотый 250г</t>
        </is>
      </c>
      <c r="C62" s="82" t="inlineStr">
        <is>
          <t>Напитки</t>
        </is>
      </c>
      <c r="D62" s="86" t="n">
        <v>5.427</v>
      </c>
      <c r="E62" s="83" t="n">
        <v>94.81999999999999</v>
      </c>
      <c r="F62" s="83" t="n">
        <v>514.59</v>
      </c>
      <c r="G62" s="82" t="inlineStr">
        <is>
          <t>Порча</t>
        </is>
      </c>
    </row>
    <row r="63">
      <c r="A63" s="88" t="n">
        <v>46191</v>
      </c>
      <c r="B63" s="4" t="inlineStr">
        <is>
          <t>Сигареты премиум</t>
        </is>
      </c>
      <c r="C63" s="4" t="inlineStr">
        <is>
          <t>Табак</t>
        </is>
      </c>
      <c r="D63" s="85" t="n">
        <v>11.877</v>
      </c>
      <c r="E63" s="78" t="n">
        <v>140.95</v>
      </c>
      <c r="F63" s="78" t="n">
        <v>1674.06</v>
      </c>
      <c r="G63" s="4" t="inlineStr">
        <is>
          <t>Истёк срок</t>
        </is>
      </c>
    </row>
    <row r="64">
      <c r="A64" s="89" t="n">
        <v>46195</v>
      </c>
      <c r="B64" s="82" t="inlineStr">
        <is>
          <t>Кофе молотый 250г</t>
        </is>
      </c>
      <c r="C64" s="82" t="inlineStr">
        <is>
          <t>Напитки</t>
        </is>
      </c>
      <c r="D64" s="86" t="n">
        <v>2.22</v>
      </c>
      <c r="E64" s="83" t="n">
        <v>85.04000000000001</v>
      </c>
      <c r="F64" s="83" t="n">
        <v>188.79</v>
      </c>
      <c r="G64" s="82" t="inlineStr">
        <is>
          <t>Порча</t>
        </is>
      </c>
    </row>
    <row r="65">
      <c r="A65" s="88" t="n">
        <v>46195</v>
      </c>
      <c r="B65" s="4" t="inlineStr">
        <is>
          <t>Печенье 300г</t>
        </is>
      </c>
      <c r="C65" s="4" t="inlineStr">
        <is>
          <t>Кондитерка</t>
        </is>
      </c>
      <c r="D65" s="85" t="n">
        <v>3.46</v>
      </c>
      <c r="E65" s="78" t="n">
        <v>166.21</v>
      </c>
      <c r="F65" s="78" t="n">
        <v>575.09</v>
      </c>
      <c r="G65" s="4" t="inlineStr">
        <is>
          <t>Истёк срок</t>
        </is>
      </c>
    </row>
    <row r="66">
      <c r="A66" s="89" t="n">
        <v>46195</v>
      </c>
      <c r="B66" s="82" t="inlineStr">
        <is>
          <t>Сахар 1кг</t>
        </is>
      </c>
      <c r="C66" s="82" t="inlineStr">
        <is>
          <t>Бакалея</t>
        </is>
      </c>
      <c r="D66" s="86" t="n">
        <v>2.091</v>
      </c>
      <c r="E66" s="83" t="n">
        <v>72.31999999999999</v>
      </c>
      <c r="F66" s="83" t="n">
        <v>151.22</v>
      </c>
      <c r="G66" s="82" t="inlineStr">
        <is>
          <t>Истёк срок</t>
        </is>
      </c>
    </row>
    <row r="67">
      <c r="A67" s="88" t="n">
        <v>46196</v>
      </c>
      <c r="B67" s="4" t="inlineStr">
        <is>
          <t>Хлеб белый 500г</t>
        </is>
      </c>
      <c r="C67" s="4" t="inlineStr">
        <is>
          <t>Хлеб</t>
        </is>
      </c>
      <c r="D67" s="85" t="n">
        <v>11.439</v>
      </c>
      <c r="E67" s="78" t="n">
        <v>133.35</v>
      </c>
      <c r="F67" s="78" t="n">
        <v>1525.39</v>
      </c>
      <c r="G67" s="4" t="inlineStr">
        <is>
          <t>Бой/брак</t>
        </is>
      </c>
    </row>
    <row r="68">
      <c r="A68" s="89" t="n">
        <v>46198</v>
      </c>
      <c r="B68" s="82" t="inlineStr">
        <is>
          <t>Масло подсолн. 1л</t>
        </is>
      </c>
      <c r="C68" s="82" t="inlineStr">
        <is>
          <t>Бакалея</t>
        </is>
      </c>
      <c r="D68" s="86" t="n">
        <v>8.677</v>
      </c>
      <c r="E68" s="83" t="n">
        <v>157.94</v>
      </c>
      <c r="F68" s="83" t="n">
        <v>1370.45</v>
      </c>
      <c r="G68" s="82" t="inlineStr">
        <is>
          <t>Бой/брак</t>
        </is>
      </c>
    </row>
    <row r="69">
      <c r="A69" s="88" t="n">
        <v>46199</v>
      </c>
      <c r="B69" s="4" t="inlineStr">
        <is>
          <t>Шоколад 90г</t>
        </is>
      </c>
      <c r="C69" s="4" t="inlineStr">
        <is>
          <t>Кондитерка</t>
        </is>
      </c>
      <c r="D69" s="85" t="n">
        <v>4.174</v>
      </c>
      <c r="E69" s="78" t="n">
        <v>126.64</v>
      </c>
      <c r="F69" s="78" t="n">
        <v>528.6</v>
      </c>
      <c r="G69" s="4" t="inlineStr">
        <is>
          <t>Порча</t>
        </is>
      </c>
    </row>
    <row r="70">
      <c r="A70" s="89" t="n">
        <v>46201</v>
      </c>
      <c r="B70" s="82" t="inlineStr">
        <is>
          <t>Печенье 300г</t>
        </is>
      </c>
      <c r="C70" s="82" t="inlineStr">
        <is>
          <t>Кондитерка</t>
        </is>
      </c>
      <c r="D70" s="86" t="n">
        <v>3.83</v>
      </c>
      <c r="E70" s="83" t="n">
        <v>191.15</v>
      </c>
      <c r="F70" s="83" t="n">
        <v>732.1</v>
      </c>
      <c r="G70" s="82" t="inlineStr">
        <is>
          <t>Недостача инвентаризации</t>
        </is>
      </c>
    </row>
    <row r="71">
      <c r="A71" s="88" t="n">
        <v>46201</v>
      </c>
      <c r="B71" s="4" t="inlineStr">
        <is>
          <t>Шоколад 90г</t>
        </is>
      </c>
      <c r="C71" s="4" t="inlineStr">
        <is>
          <t>Кондитерка</t>
        </is>
      </c>
      <c r="D71" s="85" t="n">
        <v>7.995</v>
      </c>
      <c r="E71" s="78" t="n">
        <v>120.8</v>
      </c>
      <c r="F71" s="78" t="n">
        <v>965.8</v>
      </c>
      <c r="G71" s="4" t="inlineStr">
        <is>
          <t>Прочее</t>
        </is>
      </c>
    </row>
    <row r="72">
      <c r="A72" s="89" t="n">
        <v>46202</v>
      </c>
      <c r="B72" s="82" t="inlineStr">
        <is>
          <t>Молоко 2.5% 1л</t>
        </is>
      </c>
      <c r="C72" s="82" t="inlineStr">
        <is>
          <t>Молочные</t>
        </is>
      </c>
      <c r="D72" s="86" t="n">
        <v>11.105</v>
      </c>
      <c r="E72" s="83" t="n">
        <v>94.53</v>
      </c>
      <c r="F72" s="83" t="n">
        <v>1049.76</v>
      </c>
      <c r="G72" s="82" t="inlineStr">
        <is>
          <t>Прочее</t>
        </is>
      </c>
    </row>
    <row r="73">
      <c r="A73" s="88" t="n">
        <v>46203</v>
      </c>
      <c r="B73" s="4" t="inlineStr">
        <is>
          <t>Масло подсолн. 1л</t>
        </is>
      </c>
      <c r="C73" s="4" t="inlineStr">
        <is>
          <t>Бакалея</t>
        </is>
      </c>
      <c r="D73" s="85" t="n">
        <v>8.401</v>
      </c>
      <c r="E73" s="78" t="n">
        <v>146.34</v>
      </c>
      <c r="F73" s="78" t="n">
        <v>1229.4</v>
      </c>
      <c r="G73" s="4" t="inlineStr">
        <is>
          <t>Истёк срок</t>
        </is>
      </c>
    </row>
  </sheetData>
  <mergeCells count="2">
    <mergeCell ref="A47:F47"/>
    <mergeCell ref="A2:I2"/>
  </mergeCells>
  <conditionalFormatting sqref="F9:F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:J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2026-08-12T02:14:38Z</dcterms:created>
  <dcterms:modified xsi:type="dcterms:W3CDTF">2026-08-12T02:23:37Z</dcterms:modified>
</cp:coreProperties>
</file>